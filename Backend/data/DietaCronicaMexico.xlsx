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ngenta-my.sharepoint.com/personal/vinicius_camargo_syngenta_com/Documents/Área de Trabalho/RiskWise_Frontend/Backend/data/"/>
    </mc:Choice>
  </mc:AlternateContent>
  <xr:revisionPtr revIDLastSave="57" documentId="8_{53715433-5D7B-4B6D-AE97-745FC0A21E95}" xr6:coauthVersionLast="47" xr6:coauthVersionMax="47" xr10:uidLastSave="{C38192D7-6B28-4E3C-A43C-2DEAB615E973}"/>
  <bookViews>
    <workbookView xWindow="11424" yWindow="0" windowWidth="11712" windowHeight="13776" xr2:uid="{E0B61B8B-DA93-4BC2-B123-3E6FE07750BC}"/>
  </bookViews>
  <sheets>
    <sheet name="MX_chronic dietary" sheetId="1" r:id="rId1"/>
    <sheet name="Nombres IUPAC espanhol" sheetId="2" r:id="rId2"/>
  </sheets>
  <definedNames>
    <definedName name="_xlnm._FilterDatabase" localSheetId="0" hidden="1">'MX_chronic dietary'!$D$7:$I$111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5" i="1" l="1"/>
  <c r="I80" i="1"/>
  <c r="I69" i="1"/>
  <c r="I62" i="1"/>
  <c r="I41" i="1"/>
  <c r="I23" i="1"/>
  <c r="I20" i="1"/>
  <c r="I11" i="1"/>
  <c r="I8" i="1"/>
  <c r="I9" i="1"/>
  <c r="I10" i="1"/>
  <c r="I12" i="1"/>
  <c r="I13" i="1"/>
  <c r="I14" i="1"/>
  <c r="I15" i="1"/>
  <c r="I16" i="1"/>
  <c r="I17" i="1"/>
  <c r="I18" i="1"/>
  <c r="I19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H35" i="1"/>
  <c r="I35" i="1" s="1"/>
  <c r="I36" i="1"/>
  <c r="I37" i="1"/>
  <c r="I38" i="1"/>
  <c r="I39" i="1"/>
  <c r="I40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70" i="1"/>
  <c r="I71" i="1"/>
  <c r="I72" i="1"/>
  <c r="I73" i="1"/>
  <c r="I74" i="1"/>
  <c r="I75" i="1"/>
  <c r="I76" i="1"/>
  <c r="I77" i="1"/>
  <c r="I78" i="1"/>
  <c r="I79" i="1"/>
  <c r="I81" i="1"/>
  <c r="I82" i="1"/>
  <c r="I83" i="1"/>
  <c r="I84" i="1"/>
  <c r="I86" i="1"/>
  <c r="I87" i="1"/>
  <c r="I88" i="1"/>
  <c r="H89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H104" i="1"/>
  <c r="I104" i="1" s="1"/>
  <c r="I105" i="1"/>
  <c r="I106" i="1"/>
  <c r="I107" i="1"/>
  <c r="I108" i="1"/>
  <c r="I109" i="1"/>
  <c r="I110" i="1"/>
  <c r="I111" i="1"/>
  <c r="I5" i="1" l="1"/>
  <c r="B4" i="1" l="1"/>
  <c r="B5" i="1" s="1"/>
</calcChain>
</file>

<file path=xl/sharedStrings.xml><?xml version="1.0" encoding="utf-8"?>
<sst xmlns="http://schemas.openxmlformats.org/spreadsheetml/2006/main" count="312" uniqueCount="209">
  <si>
    <t>ADI (mg/kg bw/day)</t>
  </si>
  <si>
    <t>bw (kg)</t>
  </si>
  <si>
    <t>IDMT</t>
  </si>
  <si>
    <t>%ADI</t>
  </si>
  <si>
    <t>Crop</t>
  </si>
  <si>
    <t>Cultivo</t>
  </si>
  <si>
    <t>SUM</t>
  </si>
  <si>
    <t>(LMR or R)*C</t>
  </si>
  <si>
    <t>Garlic</t>
  </si>
  <si>
    <t>Avocado</t>
  </si>
  <si>
    <t>Blueberry</t>
  </si>
  <si>
    <t>Rice</t>
  </si>
  <si>
    <t>Oat</t>
  </si>
  <si>
    <t>Eggplant</t>
  </si>
  <si>
    <t>Broccoli</t>
  </si>
  <si>
    <t>Sugarcane</t>
  </si>
  <si>
    <t>Barley</t>
  </si>
  <si>
    <t>Onion</t>
  </si>
  <si>
    <t>welsh onion</t>
  </si>
  <si>
    <t>Pepper</t>
  </si>
  <si>
    <t>Kale</t>
  </si>
  <si>
    <t>Couliflower</t>
  </si>
  <si>
    <t>Peach</t>
  </si>
  <si>
    <t>Aspargum</t>
  </si>
  <si>
    <t>Spinash</t>
  </si>
  <si>
    <t>Raspberry</t>
  </si>
  <si>
    <t>Strawberry</t>
  </si>
  <si>
    <t>Chickpeas</t>
  </si>
  <si>
    <t>Guava</t>
  </si>
  <si>
    <t>Lettuce</t>
  </si>
  <si>
    <t>Lentil</t>
  </si>
  <si>
    <t>Maize</t>
  </si>
  <si>
    <t>Mandarin</t>
  </si>
  <si>
    <t>Mango</t>
  </si>
  <si>
    <t>Apple</t>
  </si>
  <si>
    <t>Melon</t>
  </si>
  <si>
    <t>Blackberry</t>
  </si>
  <si>
    <t>Orange</t>
  </si>
  <si>
    <t>Okra</t>
  </si>
  <si>
    <t>Potato</t>
  </si>
  <si>
    <t>Papaya</t>
  </si>
  <si>
    <t>Cucumber</t>
  </si>
  <si>
    <t>Parsley</t>
  </si>
  <si>
    <t>Bellpepper</t>
  </si>
  <si>
    <t>Cabagge</t>
  </si>
  <si>
    <t>Watermelon</t>
  </si>
  <si>
    <t>Soybeans</t>
  </si>
  <si>
    <t>Wheat</t>
  </si>
  <si>
    <t>Triticale</t>
  </si>
  <si>
    <t>Grape</t>
  </si>
  <si>
    <t>Carrot</t>
  </si>
  <si>
    <t>Almond</t>
  </si>
  <si>
    <t>Hazelnut</t>
  </si>
  <si>
    <t>Jícama</t>
  </si>
  <si>
    <t>Sorghum</t>
  </si>
  <si>
    <t>Membrillo</t>
  </si>
  <si>
    <t>Loquat</t>
  </si>
  <si>
    <t>Turnip</t>
  </si>
  <si>
    <t>Quince</t>
  </si>
  <si>
    <t>Chard</t>
  </si>
  <si>
    <r>
      <t>Zarzamora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</si>
  <si>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Triticale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</si>
  <si>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Trigo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</si>
  <si>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Toronjo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</si>
  <si>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Tangerino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</si>
  <si>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Soya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</si>
  <si>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Sorgo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</si>
  <si>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Pomelo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</si>
  <si>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Poro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</si>
  <si>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Pimiento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</si>
  <si>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Perejil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</si>
  <si>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Okra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</si>
  <si>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Nogal pecanero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</si>
  <si>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Nogal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</si>
  <si>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Mijo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</si>
  <si>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Mora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</si>
  <si>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Mostaza </t>
    </r>
    <r>
      <rPr>
        <vertAlign val="superscript"/>
        <sz val="11"/>
        <color theme="1"/>
        <rFont val="Calibri"/>
        <family val="2"/>
        <scheme val="minor"/>
      </rPr>
      <t>4</t>
    </r>
  </si>
  <si>
    <r>
      <t>Mandarino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</si>
  <si>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Macadamia</t>
    </r>
    <r>
      <rPr>
        <vertAlign val="superscript"/>
        <sz val="11"/>
        <color theme="1"/>
        <rFont val="Calibri"/>
        <family val="2"/>
        <scheme val="minor"/>
      </rPr>
      <t>4</t>
    </r>
  </si>
  <si>
    <r>
      <t>Lima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</si>
  <si>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Haba </t>
    </r>
    <r>
      <rPr>
        <vertAlign val="superscript"/>
        <sz val="11"/>
        <color theme="1"/>
        <rFont val="Calibri"/>
        <family val="2"/>
        <scheme val="minor"/>
      </rPr>
      <t>4</t>
    </r>
  </si>
  <si>
    <r>
      <t>Grosella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</si>
  <si>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Garbanzo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</si>
  <si>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Frambuesa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</si>
  <si>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Espinaca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</si>
  <si>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Coliflor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</si>
  <si>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Colza</t>
    </r>
    <r>
      <rPr>
        <vertAlign val="superscript"/>
        <sz val="11"/>
        <color rgb="FF000000"/>
        <rFont val="Calibri"/>
        <family val="2"/>
        <scheme val="minor"/>
      </rPr>
      <t xml:space="preserve"> 4</t>
    </r>
  </si>
  <si>
    <r>
      <t xml:space="preserve">Echalote </t>
    </r>
    <r>
      <rPr>
        <vertAlign val="superscript"/>
        <sz val="11"/>
        <color theme="1"/>
        <rFont val="Calibri"/>
        <family val="2"/>
        <scheme val="minor"/>
      </rPr>
      <t>4</t>
    </r>
  </si>
  <si>
    <r>
      <t xml:space="preserve">Col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</si>
  <si>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Col de Bruselas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</si>
  <si>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Cidro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</si>
  <si>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Centeno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</si>
  <si>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Cebollín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</si>
  <si>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Cebada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</si>
  <si>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Castaño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</si>
  <si>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Cacahuate</t>
    </r>
    <r>
      <rPr>
        <vertAlign val="superscript"/>
        <sz val="11"/>
        <color rgb="FF000000"/>
        <rFont val="Calibri"/>
        <family val="2"/>
        <scheme val="minor"/>
      </rPr>
      <t xml:space="preserve"> 4</t>
    </r>
  </si>
  <si>
    <r>
      <t>Cafeto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</si>
  <si>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Berenjena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</si>
  <si>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Avellana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</si>
  <si>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Arándano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</si>
  <si>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Apio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</si>
  <si>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Alubia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</si>
  <si>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Almendro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</si>
  <si>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Algodonero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</si>
  <si>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Ajo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</si>
  <si>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Sandía</t>
    </r>
    <r>
      <rPr>
        <vertAlign val="superscript"/>
        <sz val="11"/>
        <color rgb="FF000000"/>
        <rFont val="Calibri"/>
        <family val="2"/>
        <scheme val="minor"/>
      </rPr>
      <t>3</t>
    </r>
  </si>
  <si>
    <r>
      <t xml:space="preserve">Durazno </t>
    </r>
    <r>
      <rPr>
        <vertAlign val="superscript"/>
        <sz val="11"/>
        <color rgb="FF000000"/>
        <rFont val="Calibri"/>
        <family val="2"/>
        <scheme val="minor"/>
      </rPr>
      <t>3</t>
    </r>
  </si>
  <si>
    <r>
      <t xml:space="preserve">Calabacita </t>
    </r>
    <r>
      <rPr>
        <vertAlign val="superscript"/>
        <sz val="11"/>
        <color rgb="FF000000"/>
        <rFont val="Calibri"/>
        <family val="2"/>
        <scheme val="minor"/>
      </rPr>
      <t>3</t>
    </r>
  </si>
  <si>
    <r>
      <t xml:space="preserve">Brócoli </t>
    </r>
    <r>
      <rPr>
        <vertAlign val="superscript"/>
        <sz val="11"/>
        <color rgb="FF000000"/>
        <rFont val="Calibri"/>
        <family val="2"/>
        <scheme val="minor"/>
      </rPr>
      <t>3</t>
    </r>
  </si>
  <si>
    <r>
      <t xml:space="preserve">Arroz 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</si>
  <si>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 xml:space="preserve">Avena 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</si>
  <si>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Calabaza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</si>
  <si>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Cebolla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</si>
  <si>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Chayote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</si>
  <si>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 xml:space="preserve">Chicharo 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</si>
  <si>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 xml:space="preserve">Chile 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</si>
  <si>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 xml:space="preserve">Frijol 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</si>
  <si>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Jitomate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</si>
  <si>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Guayabo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</si>
  <si>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Lechuga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</si>
  <si>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Lenteja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</si>
  <si>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Limonero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</si>
  <si>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Mango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</si>
  <si>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Manzano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</si>
  <si>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Melón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</si>
  <si>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Naranjo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</si>
  <si>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Papa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</si>
  <si>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Papayo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</si>
  <si>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Pepino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</si>
  <si>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 xml:space="preserve">Peral 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</si>
  <si>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Plátano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</si>
  <si>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Tomate de cáscara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</si>
  <si>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Vid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</si>
  <si>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 xml:space="preserve">Zanahoria </t>
    </r>
    <r>
      <rPr>
        <vertAlign val="superscript"/>
        <sz val="11"/>
        <color rgb="FF000000"/>
        <rFont val="Calibri"/>
        <family val="2"/>
        <scheme val="minor"/>
      </rPr>
      <t>2</t>
    </r>
  </si>
  <si>
    <t>Ingrediente Ativo</t>
  </si>
  <si>
    <t>Cultivo Aprovado Cofepris</t>
  </si>
  <si>
    <t>Cultivo Submetido - aguardando aprovação</t>
  </si>
  <si>
    <r>
      <t xml:space="preserve">Acelga 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</si>
  <si>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Cártamo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</si>
  <si>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Caña de azúcar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</si>
  <si>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Chile Bell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</si>
  <si>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Colinabo </t>
    </r>
    <r>
      <rPr>
        <vertAlign val="superscript"/>
        <sz val="11"/>
        <color theme="1"/>
        <rFont val="Calibri"/>
        <family val="2"/>
        <scheme val="minor"/>
      </rPr>
      <t>4</t>
    </r>
  </si>
  <si>
    <r>
      <t>Espárrago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</si>
  <si>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Girasol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</si>
  <si>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Maíz 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</si>
  <si>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 xml:space="preserve">Nabo </t>
    </r>
    <r>
      <rPr>
        <vertAlign val="superscript"/>
        <sz val="11"/>
        <color theme="1"/>
        <rFont val="Calibri"/>
        <family val="2"/>
        <scheme val="minor"/>
      </rPr>
      <t>4</t>
    </r>
  </si>
  <si>
    <r>
      <t xml:space="preserve">Níspero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</si>
  <si>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Nogal de Castilla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</si>
  <si>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Repollo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</si>
  <si>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 xml:space="preserve">Rabano 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</si>
  <si>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Aguacatero</t>
    </r>
    <r>
      <rPr>
        <vertAlign val="superscript"/>
        <sz val="11"/>
        <rFont val="Calibri"/>
        <family val="2"/>
        <scheme val="minor"/>
      </rPr>
      <t>2</t>
    </r>
  </si>
  <si>
    <r>
      <t>Fresa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</si>
  <si>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Frijol ejotero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</si>
  <si>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Piña</t>
    </r>
    <r>
      <rPr>
        <vertAlign val="superscript"/>
        <sz val="11"/>
        <color rgb="FF000000"/>
        <rFont val="Calibri"/>
        <family val="2"/>
        <scheme val="minor"/>
      </rPr>
      <t>2</t>
    </r>
  </si>
  <si>
    <t>Tejocote4</t>
  </si>
  <si>
    <t>Palma de coco4</t>
  </si>
  <si>
    <t>Chabacano4</t>
  </si>
  <si>
    <t>Cotton</t>
  </si>
  <si>
    <t>Rye</t>
  </si>
  <si>
    <t>Lemon</t>
  </si>
  <si>
    <t>Pineapple</t>
  </si>
  <si>
    <t>Plantain</t>
  </si>
  <si>
    <t>Ingrediente ativo</t>
  </si>
  <si>
    <t>NOMBRE IUPAC espanhol</t>
  </si>
  <si>
    <t>CAS number</t>
  </si>
  <si>
    <t>Acibenzolar-S- metil</t>
  </si>
  <si>
    <t xml:space="preserve">S- metil benzo [1,2,3] tiadiazol-7-carbotioato </t>
  </si>
  <si>
    <t>Tiametoxam</t>
  </si>
  <si>
    <t>TIAMETOXAM: (EZ)-3-(2-cloro-1,3-tiazol-5-ilmetil)-5-metil-1,3,5-oxadiazinan-4-ilideno (nitro)amina</t>
  </si>
  <si>
    <t>153719-23-4</t>
  </si>
  <si>
    <t>(E)-1-(2-cloro-1,3-tiazol-5-ilmetil)-3-metil-2-nitroguanidina</t>
  </si>
  <si>
    <t>Clotianidin</t>
  </si>
  <si>
    <t>135158-54-2</t>
  </si>
  <si>
    <t>210880-92-5</t>
  </si>
  <si>
    <t>(R)-α-ciano-3-fenoxibencil (1S)-cis-3-[(Z)-2-cloro-3,3,3-trifluoropropenil]-2,2-dimetil ciclopropano carboxilato y (S)-α-ciano- 3- fenoxibencil (1R)-cis-3-[(Z)-2-cloro-3,3,3- trifluoropropenil]-2,2-dimetil ciclopropano carboxilato</t>
  </si>
  <si>
    <t>Lambda-Cialotrina</t>
  </si>
  <si>
    <t>91465-08-6</t>
  </si>
  <si>
    <t>Pidiflumetofen</t>
  </si>
  <si>
    <t xml:space="preserve">3-(difluorometil)-N-metoxy-1-metil-N-((RS)-1-metil-2-(2,4,6- triclorofenil)etil)-1H-pyrazol-4-carboxamida   </t>
  </si>
  <si>
    <t>1228284-64-7</t>
  </si>
  <si>
    <t>2,4,5,6-tetraclorobenceno-1,3-dicarbonitrilo</t>
  </si>
  <si>
    <t>Clorotalonil</t>
  </si>
  <si>
    <t>1897-45-6</t>
  </si>
  <si>
    <t>Difenoconazole</t>
  </si>
  <si>
    <t>Ciprodinil</t>
  </si>
  <si>
    <t>-</t>
  </si>
  <si>
    <t>Deixar a coluna de R com "-" ou valor numérico de resíduo  (nunca em branco)</t>
  </si>
  <si>
    <t>Benzovindiflupyr</t>
  </si>
  <si>
    <t>N-((1RS,4SR)-9-(diclorometileno)-1,2,3,4-tetrahidro-1,4-metanonaftalen-5-il)-3-(difluorometil)-1-metilpirazol-4-carboxamida</t>
  </si>
  <si>
    <t>1072957-71-1</t>
  </si>
  <si>
    <t>Azoxystrobin</t>
  </si>
  <si>
    <t>(E)-2-{2-[6-(2-cianofenoxi)pirimidin-4-iloxi]fenil}-3-metoxiacrilato de metilo</t>
  </si>
  <si>
    <t>LMR (mg/kg)</t>
  </si>
  <si>
    <t>R (mg/kg)</t>
  </si>
  <si>
    <t>C (Kg/person/day)</t>
  </si>
  <si>
    <t>Artichoke</t>
  </si>
  <si>
    <r>
      <t xml:space="preserve">Alcachofa </t>
    </r>
    <r>
      <rPr>
        <vertAlign val="superscript"/>
        <sz val="11"/>
        <color rgb="FF000000"/>
        <rFont val="Calibri"/>
        <family val="2"/>
        <scheme val="minor"/>
      </rPr>
      <t>4</t>
    </r>
  </si>
  <si>
    <t>Beet</t>
  </si>
  <si>
    <t>Betabel 4</t>
  </si>
  <si>
    <t>Cocoa</t>
  </si>
  <si>
    <r>
      <t xml:space="preserve">Cacao </t>
    </r>
    <r>
      <rPr>
        <vertAlign val="superscript"/>
        <sz val="11"/>
        <color rgb="FF000000"/>
        <rFont val="Calibri"/>
        <family val="2"/>
        <scheme val="minor"/>
      </rPr>
      <t>4</t>
    </r>
  </si>
  <si>
    <t>Plum</t>
  </si>
  <si>
    <r>
      <t xml:space="preserve">Ciruelo </t>
    </r>
    <r>
      <rPr>
        <vertAlign val="superscript"/>
        <sz val="11"/>
        <color rgb="FF000000"/>
        <rFont val="Calibri"/>
        <family val="2"/>
        <scheme val="minor"/>
      </rPr>
      <t>4</t>
    </r>
  </si>
  <si>
    <t>Kiwi</t>
  </si>
  <si>
    <t>Sapote Mammey</t>
  </si>
  <si>
    <t>Mamey</t>
  </si>
  <si>
    <t>Nectarine</t>
  </si>
  <si>
    <t>Nectarino</t>
  </si>
  <si>
    <t>Nopal²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</si>
</sst>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2" borderId="7" xfId="0" applyFill="1" applyBorder="1"/>
    <xf numFmtId="0" fontId="2" fillId="2" borderId="0" xfId="0" applyFont="1" applyFill="1" applyAlignment="1">
      <alignment horizontal="justify" vertical="center" wrapText="1"/>
    </xf>
    <xf numFmtId="0" fontId="0" fillId="2" borderId="0" xfId="0" applyFill="1" applyAlignment="1">
      <alignment horizontal="justify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2" borderId="6" xfId="0" applyNumberFormat="1" applyFill="1" applyBorder="1"/>
    <xf numFmtId="0" fontId="0" fillId="0" borderId="9" xfId="0" applyBorder="1"/>
    <xf numFmtId="0" fontId="0" fillId="4" borderId="10" xfId="0" applyFill="1" applyBorder="1" applyProtection="1">
      <protection locked="0"/>
    </xf>
    <xf numFmtId="0" fontId="0" fillId="2" borderId="11" xfId="0" applyFill="1" applyBorder="1"/>
    <xf numFmtId="0" fontId="1" fillId="0" borderId="8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8" xfId="0" applyFont="1" applyBorder="1" applyAlignment="1" applyProtection="1">
      <alignment horizontal="justify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justify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8" xfId="0" applyBorder="1" applyAlignment="1" applyProtection="1">
      <alignment horizontal="justify" vertical="center" wrapText="1"/>
      <protection locked="0"/>
    </xf>
    <xf numFmtId="0" fontId="0" fillId="6" borderId="12" xfId="0" applyFill="1" applyBorder="1" applyProtection="1">
      <protection locked="0"/>
    </xf>
    <xf numFmtId="0" fontId="4" fillId="0" borderId="8" xfId="0" applyFont="1" applyBorder="1" applyAlignment="1">
      <alignment horizontal="justify" vertical="center" wrapText="1"/>
    </xf>
    <xf numFmtId="0" fontId="2" fillId="7" borderId="8" xfId="0" applyFont="1" applyFill="1" applyBorder="1" applyAlignment="1">
      <alignment horizontal="justify" vertical="center" wrapText="1"/>
    </xf>
    <xf numFmtId="0" fontId="2" fillId="7" borderId="8" xfId="0" applyFont="1" applyFill="1" applyBorder="1" applyAlignment="1" applyProtection="1">
      <alignment horizontal="justify" vertical="center" wrapText="1"/>
      <protection locked="0"/>
    </xf>
    <xf numFmtId="0" fontId="2" fillId="7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8" borderId="8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 wrapText="1"/>
    </xf>
    <xf numFmtId="0" fontId="2" fillId="0" borderId="8" xfId="0" applyFont="1" applyBorder="1" applyAlignment="1" applyProtection="1">
      <alignment horizontal="center" vertical="center" wrapText="1"/>
      <protection locked="0"/>
    </xf>
    <xf numFmtId="165" fontId="2" fillId="2" borderId="0" xfId="0" applyNumberFormat="1" applyFont="1" applyFill="1" applyAlignment="1">
      <alignment horizontal="justify" vertical="center" wrapText="1"/>
    </xf>
    <xf numFmtId="0" fontId="7" fillId="2" borderId="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9" borderId="17" xfId="0" applyFont="1" applyFill="1" applyBorder="1" applyAlignment="1">
      <alignment wrapText="1"/>
    </xf>
    <xf numFmtId="0" fontId="11" fillId="2" borderId="0" xfId="0" applyFont="1" applyFill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D823-0127-4C95-94F5-6E3964FBBD64}">
  <dimension ref="A1:M116"/>
  <sheetViews>
    <sheetView tabSelected="1" topLeftCell="B1" zoomScale="108" zoomScaleNormal="55" workbookViewId="0">
      <pane ySplit="7" topLeftCell="A102" activePane="bottomLeft" state="frozen"/>
      <selection pane="bottomLeft" activeCell="D6" sqref="D6"/>
    </sheetView>
  </sheetViews>
  <sheetFormatPr defaultColWidth="8.6640625" defaultRowHeight="14.4" x14ac:dyDescent="0.3"/>
  <cols>
    <col min="1" max="1" width="21.5546875" style="1" customWidth="1"/>
    <col min="2" max="3" width="8.6640625" style="1"/>
    <col min="4" max="4" width="14.44140625" style="1" customWidth="1"/>
    <col min="5" max="5" width="18.6640625" style="1" customWidth="1"/>
    <col min="6" max="7" width="12.5546875" style="1" customWidth="1"/>
    <col min="8" max="8" width="17.33203125" style="1" customWidth="1"/>
    <col min="9" max="9" width="15.109375" style="1" customWidth="1"/>
    <col min="10" max="10" width="8.6640625" style="1"/>
    <col min="11" max="11" width="9.5546875" style="1" bestFit="1" customWidth="1"/>
    <col min="12" max="16384" width="8.6640625" style="1"/>
  </cols>
  <sheetData>
    <row r="1" spans="1:13" ht="15" thickBot="1" x14ac:dyDescent="0.35">
      <c r="A1" s="14" t="s">
        <v>134</v>
      </c>
      <c r="B1" s="25"/>
      <c r="E1" s="38" t="s">
        <v>135</v>
      </c>
      <c r="F1" s="39"/>
      <c r="G1" s="40"/>
      <c r="I1" s="41" t="s">
        <v>186</v>
      </c>
    </row>
    <row r="2" spans="1:13" ht="15" thickBot="1" x14ac:dyDescent="0.35">
      <c r="A2" s="12" t="s">
        <v>0</v>
      </c>
      <c r="B2" s="13"/>
      <c r="I2" s="42"/>
    </row>
    <row r="3" spans="1:13" ht="15" thickBot="1" x14ac:dyDescent="0.35">
      <c r="A3" s="2" t="s">
        <v>1</v>
      </c>
      <c r="B3" s="3">
        <v>70</v>
      </c>
      <c r="E3" s="35" t="s">
        <v>136</v>
      </c>
      <c r="F3" s="36"/>
      <c r="G3" s="37"/>
      <c r="I3" s="43"/>
    </row>
    <row r="4" spans="1:13" ht="15" thickBot="1" x14ac:dyDescent="0.35">
      <c r="A4" s="2" t="s">
        <v>2</v>
      </c>
      <c r="B4" s="3">
        <f>(I5/B3)</f>
        <v>0</v>
      </c>
    </row>
    <row r="5" spans="1:13" ht="15" thickBot="1" x14ac:dyDescent="0.35">
      <c r="A5" s="4" t="s">
        <v>3</v>
      </c>
      <c r="B5" s="5" t="e">
        <f>(B4/B2)*100</f>
        <v>#DIV/0!</v>
      </c>
      <c r="H5" s="6" t="s">
        <v>6</v>
      </c>
      <c r="I5" s="11">
        <f>SUM(I8:I111)</f>
        <v>0</v>
      </c>
    </row>
    <row r="7" spans="1:13" x14ac:dyDescent="0.3">
      <c r="D7" s="15" t="s">
        <v>4</v>
      </c>
      <c r="E7" s="15" t="s">
        <v>5</v>
      </c>
      <c r="F7" s="16" t="s">
        <v>192</v>
      </c>
      <c r="G7" s="16" t="s">
        <v>193</v>
      </c>
      <c r="H7" s="17" t="s">
        <v>194</v>
      </c>
      <c r="I7" s="17" t="s">
        <v>7</v>
      </c>
    </row>
    <row r="8" spans="1:13" ht="16.2" x14ac:dyDescent="0.3">
      <c r="D8" s="18" t="s">
        <v>59</v>
      </c>
      <c r="E8" s="18" t="s">
        <v>137</v>
      </c>
      <c r="F8" s="19"/>
      <c r="G8" s="33"/>
      <c r="H8" s="20">
        <v>4.6600000000000001E-3</v>
      </c>
      <c r="I8" s="21">
        <f>IF(G8&lt;&gt;"-",G8*H8,F8*H8)</f>
        <v>0</v>
      </c>
    </row>
    <row r="9" spans="1:13" ht="16.2" x14ac:dyDescent="0.3">
      <c r="D9" s="18" t="s">
        <v>9</v>
      </c>
      <c r="E9" s="26" t="s">
        <v>150</v>
      </c>
      <c r="F9" s="19"/>
      <c r="G9" s="33" t="s">
        <v>185</v>
      </c>
      <c r="H9" s="20">
        <v>4.5999999999999999E-3</v>
      </c>
      <c r="I9" s="21">
        <f t="shared" ref="I9:I78" si="0">IF(G9&lt;&gt;"-",G9*H9,F9*H9)</f>
        <v>0</v>
      </c>
      <c r="J9" s="7"/>
      <c r="K9" s="7"/>
      <c r="L9" s="7"/>
      <c r="M9" s="9"/>
    </row>
    <row r="10" spans="1:13" ht="16.2" x14ac:dyDescent="0.3">
      <c r="D10" s="18" t="s">
        <v>8</v>
      </c>
      <c r="E10" s="18" t="s">
        <v>104</v>
      </c>
      <c r="F10" s="19"/>
      <c r="G10" s="33" t="s">
        <v>185</v>
      </c>
      <c r="H10" s="20">
        <v>1.65E-3</v>
      </c>
      <c r="I10" s="21">
        <f t="shared" si="0"/>
        <v>0</v>
      </c>
      <c r="J10" s="7"/>
      <c r="K10" s="7"/>
      <c r="L10" s="7"/>
      <c r="M10" s="9"/>
    </row>
    <row r="11" spans="1:13" ht="16.2" x14ac:dyDescent="0.3">
      <c r="D11" s="44" t="s">
        <v>195</v>
      </c>
      <c r="E11" s="45" t="s">
        <v>196</v>
      </c>
      <c r="F11" s="45"/>
      <c r="G11" s="20" t="s">
        <v>185</v>
      </c>
      <c r="H11" s="20">
        <v>2.5999999999999998E-4</v>
      </c>
      <c r="I11" s="21">
        <f t="shared" si="0"/>
        <v>0</v>
      </c>
      <c r="J11" s="7"/>
      <c r="K11" s="7"/>
      <c r="L11" s="7"/>
      <c r="M11" s="9"/>
    </row>
    <row r="12" spans="1:13" ht="16.2" x14ac:dyDescent="0.3">
      <c r="D12" s="18" t="s">
        <v>157</v>
      </c>
      <c r="E12" s="18" t="s">
        <v>103</v>
      </c>
      <c r="F12" s="19"/>
      <c r="G12" s="33" t="s">
        <v>185</v>
      </c>
      <c r="H12" s="20">
        <v>7.1399999999999996E-3</v>
      </c>
      <c r="I12" s="21">
        <f t="shared" si="0"/>
        <v>0</v>
      </c>
      <c r="J12" s="7"/>
      <c r="K12" s="7"/>
      <c r="L12" s="7"/>
      <c r="M12" s="9"/>
    </row>
    <row r="13" spans="1:13" ht="16.2" x14ac:dyDescent="0.3">
      <c r="D13" s="18" t="s">
        <v>51</v>
      </c>
      <c r="E13" s="18" t="s">
        <v>102</v>
      </c>
      <c r="F13" s="19"/>
      <c r="G13" s="33" t="s">
        <v>185</v>
      </c>
      <c r="H13" s="20">
        <v>6.0000000000000002E-5</v>
      </c>
      <c r="I13" s="21">
        <f t="shared" si="0"/>
        <v>0</v>
      </c>
      <c r="J13" s="48"/>
      <c r="K13" s="7"/>
      <c r="L13" s="7"/>
      <c r="M13" s="9"/>
    </row>
    <row r="14" spans="1:13" ht="16.2" x14ac:dyDescent="0.3">
      <c r="D14" s="18"/>
      <c r="E14" s="18" t="s">
        <v>101</v>
      </c>
      <c r="F14" s="19"/>
      <c r="G14" s="33" t="s">
        <v>185</v>
      </c>
      <c r="H14" s="20">
        <v>4.2799999999999998E-2</v>
      </c>
      <c r="I14" s="21">
        <f t="shared" si="0"/>
        <v>0</v>
      </c>
      <c r="J14" s="7"/>
      <c r="K14" s="7"/>
      <c r="L14" s="7"/>
      <c r="M14" s="9"/>
    </row>
    <row r="15" spans="1:13" ht="16.2" x14ac:dyDescent="0.3">
      <c r="D15" s="18"/>
      <c r="E15" s="18" t="s">
        <v>100</v>
      </c>
      <c r="F15" s="19"/>
      <c r="G15" s="33" t="s">
        <v>185</v>
      </c>
      <c r="H15" s="20">
        <v>2.0000000000000002E-5</v>
      </c>
      <c r="I15" s="21">
        <f t="shared" si="0"/>
        <v>0</v>
      </c>
      <c r="J15" s="7"/>
      <c r="K15" s="7"/>
      <c r="L15" s="7"/>
      <c r="M15" s="10"/>
    </row>
    <row r="16" spans="1:13" ht="16.2" x14ac:dyDescent="0.3">
      <c r="D16" s="18" t="s">
        <v>10</v>
      </c>
      <c r="E16" s="18" t="s">
        <v>99</v>
      </c>
      <c r="F16" s="19"/>
      <c r="G16" s="33" t="s">
        <v>185</v>
      </c>
      <c r="H16" s="20">
        <v>1.0000000000000001E-5</v>
      </c>
      <c r="I16" s="21">
        <f t="shared" si="0"/>
        <v>0</v>
      </c>
      <c r="J16" s="7"/>
      <c r="K16" s="7"/>
      <c r="L16" s="7"/>
      <c r="M16" s="9"/>
    </row>
    <row r="17" spans="4:13" ht="16.2" x14ac:dyDescent="0.3">
      <c r="D17" s="18" t="s">
        <v>11</v>
      </c>
      <c r="E17" s="18" t="s">
        <v>109</v>
      </c>
      <c r="F17" s="19"/>
      <c r="G17" s="33" t="s">
        <v>185</v>
      </c>
      <c r="H17" s="20">
        <v>4.1399999999999999E-2</v>
      </c>
      <c r="I17" s="21">
        <f t="shared" si="0"/>
        <v>0</v>
      </c>
      <c r="J17" s="7"/>
      <c r="K17" s="7"/>
      <c r="L17" s="7"/>
      <c r="M17" s="9"/>
    </row>
    <row r="18" spans="4:13" ht="16.2" x14ac:dyDescent="0.3">
      <c r="D18" s="18" t="s">
        <v>52</v>
      </c>
      <c r="E18" s="18" t="s">
        <v>98</v>
      </c>
      <c r="F18" s="19"/>
      <c r="G18" s="33" t="s">
        <v>185</v>
      </c>
      <c r="H18" s="20">
        <v>1.0000000000000001E-5</v>
      </c>
      <c r="I18" s="21">
        <f t="shared" si="0"/>
        <v>0</v>
      </c>
      <c r="J18" s="7"/>
      <c r="K18" s="7"/>
      <c r="L18" s="7"/>
      <c r="M18" s="9"/>
    </row>
    <row r="19" spans="4:13" ht="16.2" x14ac:dyDescent="0.3">
      <c r="D19" s="18" t="s">
        <v>12</v>
      </c>
      <c r="E19" s="18" t="s">
        <v>110</v>
      </c>
      <c r="F19" s="19"/>
      <c r="G19" s="33" t="s">
        <v>185</v>
      </c>
      <c r="H19" s="20">
        <v>4.5999999999999999E-3</v>
      </c>
      <c r="I19" s="21">
        <f t="shared" si="0"/>
        <v>0</v>
      </c>
      <c r="J19" s="7"/>
      <c r="K19" s="7"/>
      <c r="L19" s="7"/>
      <c r="M19" s="9"/>
    </row>
    <row r="20" spans="4:13" x14ac:dyDescent="0.3">
      <c r="D20" s="44" t="s">
        <v>197</v>
      </c>
      <c r="E20" s="45" t="s">
        <v>198</v>
      </c>
      <c r="F20" s="45"/>
      <c r="G20" s="20" t="s">
        <v>185</v>
      </c>
      <c r="H20" s="20">
        <v>9.3299999999999998E-3</v>
      </c>
      <c r="I20" s="21">
        <f t="shared" si="0"/>
        <v>0</v>
      </c>
      <c r="J20" s="7"/>
      <c r="K20" s="7"/>
      <c r="L20" s="7"/>
      <c r="M20" s="9"/>
    </row>
    <row r="21" spans="4:13" ht="16.2" x14ac:dyDescent="0.3">
      <c r="D21" s="18" t="s">
        <v>13</v>
      </c>
      <c r="E21" s="18" t="s">
        <v>97</v>
      </c>
      <c r="F21" s="19"/>
      <c r="G21" s="33" t="s">
        <v>185</v>
      </c>
      <c r="H21" s="20">
        <v>1.3639999999999999E-2</v>
      </c>
      <c r="I21" s="21">
        <f t="shared" si="0"/>
        <v>0</v>
      </c>
      <c r="J21" s="7"/>
      <c r="K21" s="7"/>
      <c r="L21" s="7"/>
      <c r="M21" s="9"/>
    </row>
    <row r="22" spans="4:13" ht="16.2" x14ac:dyDescent="0.3">
      <c r="D22" s="18" t="s">
        <v>14</v>
      </c>
      <c r="E22" s="18" t="s">
        <v>108</v>
      </c>
      <c r="F22" s="19"/>
      <c r="G22" s="33" t="s">
        <v>185</v>
      </c>
      <c r="H22" s="20">
        <v>4.1000000000000003E-3</v>
      </c>
      <c r="I22" s="21">
        <f t="shared" si="0"/>
        <v>0</v>
      </c>
      <c r="J22" s="7"/>
      <c r="K22" s="7"/>
      <c r="L22" s="7"/>
      <c r="M22" s="9"/>
    </row>
    <row r="23" spans="4:13" ht="16.2" x14ac:dyDescent="0.3">
      <c r="D23" s="46" t="s">
        <v>199</v>
      </c>
      <c r="E23" s="45" t="s">
        <v>200</v>
      </c>
      <c r="F23" s="45"/>
      <c r="G23" s="20" t="s">
        <v>185</v>
      </c>
      <c r="H23" s="20">
        <v>1.0000000000000001E-5</v>
      </c>
      <c r="I23" s="21">
        <f t="shared" si="0"/>
        <v>0</v>
      </c>
      <c r="J23" s="7"/>
      <c r="K23" s="7"/>
      <c r="L23" s="7"/>
      <c r="M23" s="9"/>
    </row>
    <row r="24" spans="4:13" ht="16.2" x14ac:dyDescent="0.3">
      <c r="D24" s="18"/>
      <c r="E24" s="18" t="s">
        <v>95</v>
      </c>
      <c r="F24" s="19"/>
      <c r="G24" s="33" t="s">
        <v>185</v>
      </c>
      <c r="H24" s="20">
        <v>1.17E-3</v>
      </c>
      <c r="I24" s="21">
        <f t="shared" si="0"/>
        <v>0</v>
      </c>
      <c r="J24" s="7"/>
      <c r="K24" s="7"/>
      <c r="L24" s="7"/>
      <c r="M24" s="9"/>
    </row>
    <row r="25" spans="4:13" ht="16.2" x14ac:dyDescent="0.3">
      <c r="D25" s="18"/>
      <c r="E25" s="18" t="s">
        <v>96</v>
      </c>
      <c r="F25" s="19"/>
      <c r="G25" s="33" t="s">
        <v>185</v>
      </c>
      <c r="H25" s="20">
        <v>1.3699999999999999E-3</v>
      </c>
      <c r="I25" s="21">
        <f t="shared" si="0"/>
        <v>0</v>
      </c>
      <c r="J25" s="7"/>
      <c r="K25" s="7"/>
      <c r="L25" s="7"/>
      <c r="M25" s="9"/>
    </row>
    <row r="26" spans="4:13" ht="16.2" x14ac:dyDescent="0.3">
      <c r="D26" s="18"/>
      <c r="E26" s="18" t="s">
        <v>107</v>
      </c>
      <c r="F26" s="19"/>
      <c r="G26" s="33" t="s">
        <v>185</v>
      </c>
      <c r="H26" s="20">
        <v>1.5900000000000001E-2</v>
      </c>
      <c r="I26" s="21">
        <f t="shared" si="0"/>
        <v>0</v>
      </c>
      <c r="J26" s="7"/>
      <c r="K26" s="7"/>
      <c r="L26" s="7"/>
      <c r="M26" s="9"/>
    </row>
    <row r="27" spans="4:13" ht="16.2" x14ac:dyDescent="0.3">
      <c r="D27" s="18"/>
      <c r="E27" s="18" t="s">
        <v>111</v>
      </c>
      <c r="F27" s="19"/>
      <c r="G27" s="33" t="s">
        <v>185</v>
      </c>
      <c r="H27" s="20">
        <v>3.3700000000000001E-2</v>
      </c>
      <c r="I27" s="21">
        <f t="shared" si="0"/>
        <v>0</v>
      </c>
      <c r="J27" s="7"/>
      <c r="K27" s="7"/>
      <c r="L27" s="7"/>
      <c r="M27" s="9"/>
    </row>
    <row r="28" spans="4:13" ht="16.2" x14ac:dyDescent="0.3">
      <c r="D28" s="18" t="s">
        <v>15</v>
      </c>
      <c r="E28" s="18" t="s">
        <v>139</v>
      </c>
      <c r="F28" s="19"/>
      <c r="G28" s="33" t="s">
        <v>185</v>
      </c>
      <c r="H28" s="20">
        <v>1.779E-2</v>
      </c>
      <c r="I28" s="21">
        <f t="shared" si="0"/>
        <v>0</v>
      </c>
      <c r="J28" s="7"/>
      <c r="K28" s="7"/>
      <c r="L28" s="7"/>
      <c r="M28" s="9"/>
    </row>
    <row r="29" spans="4:13" ht="16.2" x14ac:dyDescent="0.3">
      <c r="D29" s="18"/>
      <c r="E29" s="18" t="s">
        <v>138</v>
      </c>
      <c r="F29" s="19"/>
      <c r="G29" s="33" t="s">
        <v>185</v>
      </c>
      <c r="H29" s="20">
        <v>2.9E-4</v>
      </c>
      <c r="I29" s="21">
        <f t="shared" si="0"/>
        <v>0</v>
      </c>
      <c r="J29" s="7"/>
      <c r="K29" s="7"/>
      <c r="L29" s="7"/>
      <c r="M29" s="9"/>
    </row>
    <row r="30" spans="4:13" ht="16.2" x14ac:dyDescent="0.3">
      <c r="D30" s="18"/>
      <c r="E30" s="18" t="s">
        <v>94</v>
      </c>
      <c r="F30" s="19"/>
      <c r="G30" s="33" t="s">
        <v>185</v>
      </c>
      <c r="H30" s="20">
        <v>9.0000000000000006E-5</v>
      </c>
      <c r="I30" s="21">
        <f t="shared" si="0"/>
        <v>0</v>
      </c>
      <c r="J30" s="7"/>
      <c r="K30" s="7"/>
      <c r="L30" s="7"/>
      <c r="M30" s="9"/>
    </row>
    <row r="31" spans="4:13" ht="16.2" x14ac:dyDescent="0.3">
      <c r="D31" s="18" t="s">
        <v>16</v>
      </c>
      <c r="E31" s="18" t="s">
        <v>93</v>
      </c>
      <c r="F31" s="19"/>
      <c r="G31" s="33" t="s">
        <v>185</v>
      </c>
      <c r="H31" s="20">
        <v>1.8000000000000001E-4</v>
      </c>
      <c r="I31" s="21">
        <f t="shared" si="0"/>
        <v>0</v>
      </c>
      <c r="J31" s="7"/>
      <c r="K31" s="34"/>
      <c r="L31" s="7"/>
      <c r="M31" s="9"/>
    </row>
    <row r="32" spans="4:13" ht="16.2" x14ac:dyDescent="0.3">
      <c r="D32" s="18" t="s">
        <v>17</v>
      </c>
      <c r="E32" s="18" t="s">
        <v>112</v>
      </c>
      <c r="F32" s="19"/>
      <c r="G32" s="33" t="s">
        <v>185</v>
      </c>
      <c r="H32" s="20">
        <v>2.47E-2</v>
      </c>
      <c r="I32" s="21">
        <f t="shared" si="0"/>
        <v>0</v>
      </c>
      <c r="J32" s="7"/>
      <c r="K32" s="7"/>
      <c r="L32" s="7"/>
      <c r="M32" s="9"/>
    </row>
    <row r="33" spans="4:13" ht="16.2" x14ac:dyDescent="0.3">
      <c r="D33" s="18" t="s">
        <v>18</v>
      </c>
      <c r="E33" s="18" t="s">
        <v>92</v>
      </c>
      <c r="F33" s="19"/>
      <c r="G33" s="33" t="s">
        <v>185</v>
      </c>
      <c r="H33" s="20">
        <v>5.9999999999999995E-4</v>
      </c>
      <c r="I33" s="21">
        <f t="shared" si="0"/>
        <v>0</v>
      </c>
      <c r="J33" s="7"/>
      <c r="K33" s="7"/>
      <c r="L33" s="7"/>
      <c r="M33" s="9"/>
    </row>
    <row r="34" spans="4:13" ht="16.2" x14ac:dyDescent="0.3">
      <c r="D34" s="18" t="s">
        <v>158</v>
      </c>
      <c r="E34" s="18" t="s">
        <v>91</v>
      </c>
      <c r="F34" s="19"/>
      <c r="G34" s="33" t="s">
        <v>185</v>
      </c>
      <c r="H34" s="20">
        <v>3.0000000000000001E-5</v>
      </c>
      <c r="I34" s="21">
        <f t="shared" si="0"/>
        <v>0</v>
      </c>
      <c r="J34" s="7"/>
      <c r="K34" s="7"/>
      <c r="L34" s="7"/>
      <c r="M34" s="9"/>
    </row>
    <row r="35" spans="4:13" x14ac:dyDescent="0.3">
      <c r="D35" s="18"/>
      <c r="E35" s="27" t="s">
        <v>156</v>
      </c>
      <c r="F35" s="28"/>
      <c r="G35" s="33" t="s">
        <v>185</v>
      </c>
      <c r="H35" s="29">
        <f>0.12/1000</f>
        <v>1.1999999999999999E-4</v>
      </c>
      <c r="I35" s="21">
        <f t="shared" si="0"/>
        <v>0</v>
      </c>
      <c r="J35" s="7"/>
      <c r="K35" s="7"/>
      <c r="L35" s="7"/>
      <c r="M35" s="9"/>
    </row>
    <row r="36" spans="4:13" ht="16.2" x14ac:dyDescent="0.3">
      <c r="D36" s="18"/>
      <c r="E36" s="18" t="s">
        <v>113</v>
      </c>
      <c r="F36" s="19"/>
      <c r="G36" s="33" t="s">
        <v>185</v>
      </c>
      <c r="H36" s="20">
        <v>8.9999999999999993E-3</v>
      </c>
      <c r="I36" s="21">
        <f t="shared" si="0"/>
        <v>0</v>
      </c>
      <c r="J36" s="7"/>
      <c r="K36" s="7"/>
      <c r="L36" s="7"/>
      <c r="M36" s="9"/>
    </row>
    <row r="37" spans="4:13" ht="16.2" x14ac:dyDescent="0.3">
      <c r="D37" s="18"/>
      <c r="E37" s="18" t="s">
        <v>114</v>
      </c>
      <c r="F37" s="19"/>
      <c r="G37" s="33" t="s">
        <v>185</v>
      </c>
      <c r="H37" s="20">
        <v>3.8999999999999998E-3</v>
      </c>
      <c r="I37" s="21">
        <f t="shared" si="0"/>
        <v>0</v>
      </c>
      <c r="J37" s="7"/>
      <c r="K37" s="7"/>
      <c r="L37" s="7"/>
      <c r="M37" s="9"/>
    </row>
    <row r="38" spans="4:13" ht="16.2" x14ac:dyDescent="0.3">
      <c r="D38" s="18" t="s">
        <v>19</v>
      </c>
      <c r="E38" s="18" t="s">
        <v>115</v>
      </c>
      <c r="F38" s="19"/>
      <c r="G38" s="33" t="s">
        <v>185</v>
      </c>
      <c r="H38" s="20">
        <v>2.1000000000000001E-2</v>
      </c>
      <c r="I38" s="21">
        <f t="shared" si="0"/>
        <v>0</v>
      </c>
      <c r="J38" s="7"/>
      <c r="K38" s="7"/>
      <c r="L38" s="7"/>
      <c r="M38" s="9"/>
    </row>
    <row r="39" spans="4:13" ht="16.2" x14ac:dyDescent="0.3">
      <c r="D39" s="18"/>
      <c r="E39" s="18" t="s">
        <v>140</v>
      </c>
      <c r="F39" s="19"/>
      <c r="G39" s="33" t="s">
        <v>185</v>
      </c>
      <c r="H39" s="20">
        <v>2.5899999999999999E-3</v>
      </c>
      <c r="I39" s="21">
        <f t="shared" si="0"/>
        <v>0</v>
      </c>
      <c r="J39" s="7"/>
      <c r="K39" s="7"/>
      <c r="L39" s="7"/>
      <c r="M39" s="9"/>
    </row>
    <row r="40" spans="4:13" ht="16.2" x14ac:dyDescent="0.3">
      <c r="D40" s="18"/>
      <c r="E40" s="18" t="s">
        <v>90</v>
      </c>
      <c r="F40" s="19"/>
      <c r="G40" s="33" t="s">
        <v>185</v>
      </c>
      <c r="H40" s="22">
        <v>8.2500000000000004E-3</v>
      </c>
      <c r="I40" s="21">
        <f t="shared" si="0"/>
        <v>0</v>
      </c>
      <c r="J40" s="7"/>
      <c r="K40" s="7"/>
      <c r="L40" s="7"/>
      <c r="M40" s="9"/>
    </row>
    <row r="41" spans="4:13" ht="16.2" x14ac:dyDescent="0.3">
      <c r="D41" s="46" t="s">
        <v>201</v>
      </c>
      <c r="E41" s="45" t="s">
        <v>202</v>
      </c>
      <c r="F41" s="45"/>
      <c r="G41" s="20" t="s">
        <v>185</v>
      </c>
      <c r="H41" s="20">
        <v>5.8E-4</v>
      </c>
      <c r="I41" s="21">
        <f t="shared" si="0"/>
        <v>0</v>
      </c>
      <c r="J41" s="7"/>
      <c r="K41" s="7"/>
      <c r="L41" s="7"/>
      <c r="M41" s="9"/>
    </row>
    <row r="42" spans="4:13" ht="16.2" x14ac:dyDescent="0.3">
      <c r="D42" s="18" t="s">
        <v>20</v>
      </c>
      <c r="E42" s="18" t="s">
        <v>88</v>
      </c>
      <c r="F42" s="19"/>
      <c r="G42" s="33" t="s">
        <v>185</v>
      </c>
      <c r="H42" s="20">
        <v>4.2700000000000004E-3</v>
      </c>
      <c r="I42" s="21">
        <f t="shared" si="0"/>
        <v>0</v>
      </c>
      <c r="J42" s="7"/>
      <c r="K42" s="7"/>
      <c r="L42" s="7"/>
      <c r="M42" s="9"/>
    </row>
    <row r="43" spans="4:13" ht="16.2" x14ac:dyDescent="0.3">
      <c r="D43" s="18"/>
      <c r="E43" s="18" t="s">
        <v>89</v>
      </c>
      <c r="F43" s="19"/>
      <c r="G43" s="33" t="s">
        <v>185</v>
      </c>
      <c r="H43" s="22">
        <v>4.2700000000000004E-3</v>
      </c>
      <c r="I43" s="21">
        <f t="shared" si="0"/>
        <v>0</v>
      </c>
      <c r="J43" s="7"/>
      <c r="K43" s="7"/>
      <c r="L43" s="7"/>
      <c r="M43" s="9"/>
    </row>
    <row r="44" spans="4:13" ht="16.2" x14ac:dyDescent="0.3">
      <c r="D44" s="18" t="s">
        <v>21</v>
      </c>
      <c r="E44" s="18" t="s">
        <v>85</v>
      </c>
      <c r="F44" s="19"/>
      <c r="G44" s="33" t="s">
        <v>185</v>
      </c>
      <c r="H44" s="20">
        <v>4.79E-3</v>
      </c>
      <c r="I44" s="21">
        <f t="shared" si="0"/>
        <v>0</v>
      </c>
      <c r="J44" s="7"/>
      <c r="K44" s="7"/>
      <c r="L44" s="7"/>
      <c r="M44" s="9"/>
    </row>
    <row r="45" spans="4:13" ht="16.2" x14ac:dyDescent="0.3">
      <c r="D45" s="18"/>
      <c r="E45" s="23" t="s">
        <v>141</v>
      </c>
      <c r="F45" s="24"/>
      <c r="G45" s="33" t="s">
        <v>185</v>
      </c>
      <c r="H45" s="20">
        <v>1.0000000000000001E-5</v>
      </c>
      <c r="I45" s="21">
        <f t="shared" si="0"/>
        <v>0</v>
      </c>
      <c r="J45" s="8"/>
      <c r="K45" s="7"/>
      <c r="L45" s="7"/>
      <c r="M45" s="10"/>
    </row>
    <row r="46" spans="4:13" ht="16.2" x14ac:dyDescent="0.3">
      <c r="D46" s="18"/>
      <c r="E46" s="18" t="s">
        <v>86</v>
      </c>
      <c r="F46" s="19"/>
      <c r="G46" s="33" t="s">
        <v>185</v>
      </c>
      <c r="H46" s="20">
        <v>7.5000000000000002E-4</v>
      </c>
      <c r="I46" s="21">
        <f t="shared" si="0"/>
        <v>0</v>
      </c>
      <c r="J46" s="7"/>
      <c r="K46" s="7"/>
      <c r="L46" s="7"/>
      <c r="M46" s="9"/>
    </row>
    <row r="47" spans="4:13" ht="16.2" x14ac:dyDescent="0.3">
      <c r="D47" s="18" t="s">
        <v>22</v>
      </c>
      <c r="E47" s="18" t="s">
        <v>106</v>
      </c>
      <c r="F47" s="19"/>
      <c r="G47" s="33" t="s">
        <v>185</v>
      </c>
      <c r="H47" s="20">
        <v>3.5999999999999999E-3</v>
      </c>
      <c r="I47" s="21">
        <f t="shared" si="0"/>
        <v>0</v>
      </c>
      <c r="J47" s="7"/>
      <c r="K47" s="7"/>
      <c r="L47" s="8"/>
      <c r="M47" s="10"/>
    </row>
    <row r="48" spans="4:13" ht="16.2" x14ac:dyDescent="0.3">
      <c r="D48" s="18"/>
      <c r="E48" s="23" t="s">
        <v>87</v>
      </c>
      <c r="F48" s="24"/>
      <c r="G48" s="33" t="s">
        <v>185</v>
      </c>
      <c r="H48" s="20">
        <v>1.8610000000000002E-2</v>
      </c>
      <c r="I48" s="21">
        <f t="shared" si="0"/>
        <v>0</v>
      </c>
      <c r="J48" s="8"/>
      <c r="K48" s="7"/>
      <c r="L48" s="7"/>
      <c r="M48" s="9"/>
    </row>
    <row r="49" spans="4:13" ht="16.2" x14ac:dyDescent="0.3">
      <c r="D49" s="18" t="s">
        <v>23</v>
      </c>
      <c r="E49" s="18" t="s">
        <v>142</v>
      </c>
      <c r="F49" s="19"/>
      <c r="G49" s="33" t="s">
        <v>185</v>
      </c>
      <c r="H49" s="20">
        <v>6.9999999999999994E-5</v>
      </c>
      <c r="I49" s="21">
        <f t="shared" si="0"/>
        <v>0</v>
      </c>
      <c r="J49" s="7"/>
      <c r="K49" s="7"/>
      <c r="L49" s="7"/>
      <c r="M49" s="9"/>
    </row>
    <row r="50" spans="4:13" ht="16.2" x14ac:dyDescent="0.3">
      <c r="D50" s="18" t="s">
        <v>24</v>
      </c>
      <c r="E50" s="18" t="s">
        <v>84</v>
      </c>
      <c r="F50" s="19"/>
      <c r="G50" s="33" t="s">
        <v>185</v>
      </c>
      <c r="H50" s="20">
        <v>4.0000000000000003E-5</v>
      </c>
      <c r="I50" s="21">
        <f t="shared" si="0"/>
        <v>0</v>
      </c>
      <c r="J50" s="7"/>
      <c r="K50" s="7"/>
      <c r="L50" s="8"/>
      <c r="M50" s="10"/>
    </row>
    <row r="51" spans="4:13" ht="16.2" x14ac:dyDescent="0.3">
      <c r="D51" s="18" t="s">
        <v>25</v>
      </c>
      <c r="E51" s="18" t="s">
        <v>83</v>
      </c>
      <c r="F51" s="19"/>
      <c r="G51" s="33" t="s">
        <v>185</v>
      </c>
      <c r="H51" s="20">
        <v>1.0000000000000001E-5</v>
      </c>
      <c r="I51" s="21">
        <f t="shared" si="0"/>
        <v>0</v>
      </c>
      <c r="J51" s="7"/>
      <c r="K51" s="7"/>
      <c r="L51" s="7"/>
      <c r="M51" s="9"/>
    </row>
    <row r="52" spans="4:13" ht="16.2" x14ac:dyDescent="0.3">
      <c r="D52" s="18" t="s">
        <v>26</v>
      </c>
      <c r="E52" s="18" t="s">
        <v>151</v>
      </c>
      <c r="F52" s="19"/>
      <c r="G52" s="33" t="s">
        <v>185</v>
      </c>
      <c r="H52" s="20">
        <v>5.3E-3</v>
      </c>
      <c r="I52" s="21">
        <f t="shared" si="0"/>
        <v>0</v>
      </c>
      <c r="J52" s="7"/>
      <c r="K52" s="7"/>
      <c r="L52" s="7"/>
      <c r="M52" s="9"/>
    </row>
    <row r="53" spans="4:13" ht="16.2" x14ac:dyDescent="0.3">
      <c r="D53" s="18"/>
      <c r="E53" s="18" t="s">
        <v>116</v>
      </c>
      <c r="F53" s="19"/>
      <c r="G53" s="33" t="s">
        <v>185</v>
      </c>
      <c r="H53" s="20">
        <v>4.2799999999999998E-2</v>
      </c>
      <c r="I53" s="21">
        <f t="shared" si="0"/>
        <v>0</v>
      </c>
      <c r="J53" s="7"/>
      <c r="K53" s="34"/>
      <c r="L53" s="7"/>
      <c r="M53" s="9"/>
    </row>
    <row r="54" spans="4:13" ht="16.2" x14ac:dyDescent="0.3">
      <c r="D54" s="18"/>
      <c r="E54" s="18" t="s">
        <v>152</v>
      </c>
      <c r="F54" s="19"/>
      <c r="G54" s="33" t="s">
        <v>185</v>
      </c>
      <c r="H54" s="20">
        <v>7.9000000000000008E-3</v>
      </c>
      <c r="I54" s="21">
        <f t="shared" si="0"/>
        <v>0</v>
      </c>
      <c r="J54" s="7"/>
      <c r="K54" s="7"/>
      <c r="L54" s="7"/>
      <c r="M54" s="9"/>
    </row>
    <row r="55" spans="4:13" ht="16.2" x14ac:dyDescent="0.3">
      <c r="D55" s="18" t="s">
        <v>27</v>
      </c>
      <c r="E55" s="18" t="s">
        <v>82</v>
      </c>
      <c r="F55" s="19"/>
      <c r="G55" s="33" t="s">
        <v>185</v>
      </c>
      <c r="H55" s="20">
        <v>7.2399999999999999E-3</v>
      </c>
      <c r="I55" s="21">
        <f t="shared" si="0"/>
        <v>0</v>
      </c>
      <c r="J55" s="7"/>
      <c r="K55" s="7"/>
      <c r="L55" s="7"/>
      <c r="M55" s="9"/>
    </row>
    <row r="56" spans="4:13" ht="16.2" x14ac:dyDescent="0.3">
      <c r="D56" s="18"/>
      <c r="E56" s="18" t="s">
        <v>143</v>
      </c>
      <c r="F56" s="19"/>
      <c r="G56" s="33" t="s">
        <v>185</v>
      </c>
      <c r="H56" s="20">
        <v>2.2000000000000001E-3</v>
      </c>
      <c r="I56" s="21">
        <f t="shared" si="0"/>
        <v>0</v>
      </c>
      <c r="J56" s="7"/>
      <c r="K56" s="7"/>
      <c r="L56" s="7"/>
      <c r="M56" s="9"/>
    </row>
    <row r="57" spans="4:13" ht="16.2" x14ac:dyDescent="0.3">
      <c r="D57" s="18"/>
      <c r="E57" s="18" t="s">
        <v>81</v>
      </c>
      <c r="F57" s="19"/>
      <c r="G57" s="33" t="s">
        <v>185</v>
      </c>
      <c r="H57" s="20">
        <v>1.0000000000000001E-5</v>
      </c>
      <c r="I57" s="21">
        <f t="shared" si="0"/>
        <v>0</v>
      </c>
      <c r="J57" s="7"/>
      <c r="K57" s="7"/>
      <c r="L57" s="7"/>
      <c r="M57" s="9"/>
    </row>
    <row r="58" spans="4:13" ht="16.2" x14ac:dyDescent="0.3">
      <c r="D58" s="18" t="s">
        <v>28</v>
      </c>
      <c r="E58" s="18" t="s">
        <v>118</v>
      </c>
      <c r="F58" s="19"/>
      <c r="G58" s="33" t="s">
        <v>185</v>
      </c>
      <c r="H58" s="20">
        <v>1.12E-2</v>
      </c>
      <c r="I58" s="21">
        <f t="shared" si="0"/>
        <v>0</v>
      </c>
      <c r="J58" s="7"/>
      <c r="K58" s="7"/>
      <c r="L58" s="7"/>
      <c r="M58" s="9"/>
    </row>
    <row r="59" spans="4:13" ht="16.2" x14ac:dyDescent="0.3">
      <c r="D59" s="18"/>
      <c r="E59" s="23" t="s">
        <v>80</v>
      </c>
      <c r="F59" s="24"/>
      <c r="G59" s="33" t="s">
        <v>185</v>
      </c>
      <c r="H59" s="20">
        <v>2.9E-4</v>
      </c>
      <c r="I59" s="21">
        <f t="shared" si="0"/>
        <v>0</v>
      </c>
      <c r="J59" s="8"/>
      <c r="K59" s="7"/>
      <c r="L59" s="7"/>
      <c r="M59" s="9"/>
    </row>
    <row r="60" spans="4:13" ht="16.2" x14ac:dyDescent="0.3">
      <c r="D60" s="18"/>
      <c r="E60" s="18" t="s">
        <v>117</v>
      </c>
      <c r="F60" s="24"/>
      <c r="G60" s="33" t="s">
        <v>185</v>
      </c>
      <c r="H60" s="20">
        <v>0.1074</v>
      </c>
      <c r="I60" s="21">
        <f t="shared" si="0"/>
        <v>0</v>
      </c>
      <c r="J60" s="8"/>
      <c r="K60" s="7"/>
      <c r="L60" s="7"/>
      <c r="M60" s="9"/>
    </row>
    <row r="61" spans="4:13" x14ac:dyDescent="0.3">
      <c r="D61" s="18"/>
      <c r="E61" s="18" t="s">
        <v>53</v>
      </c>
      <c r="F61" s="19"/>
      <c r="G61" s="33" t="s">
        <v>185</v>
      </c>
      <c r="H61" s="20">
        <v>1.64E-3</v>
      </c>
      <c r="I61" s="21">
        <f t="shared" si="0"/>
        <v>0</v>
      </c>
      <c r="J61" s="7"/>
      <c r="K61" s="7"/>
      <c r="L61" s="8"/>
      <c r="M61" s="10"/>
    </row>
    <row r="62" spans="4:13" x14ac:dyDescent="0.3">
      <c r="D62" s="46" t="s">
        <v>203</v>
      </c>
      <c r="E62" s="47" t="s">
        <v>203</v>
      </c>
      <c r="F62" s="45"/>
      <c r="G62" s="20" t="s">
        <v>185</v>
      </c>
      <c r="H62" s="20">
        <v>6.0000000000000002E-5</v>
      </c>
      <c r="I62" s="21">
        <f t="shared" si="0"/>
        <v>0</v>
      </c>
      <c r="J62" s="7"/>
      <c r="K62" s="7"/>
      <c r="L62" s="8"/>
      <c r="M62" s="10"/>
    </row>
    <row r="63" spans="4:13" ht="16.2" x14ac:dyDescent="0.3">
      <c r="D63" s="18" t="s">
        <v>29</v>
      </c>
      <c r="E63" s="18" t="s">
        <v>119</v>
      </c>
      <c r="F63" s="19"/>
      <c r="G63" s="33" t="s">
        <v>185</v>
      </c>
      <c r="H63" s="20">
        <v>1.43E-2</v>
      </c>
      <c r="I63" s="21">
        <f t="shared" si="0"/>
        <v>0</v>
      </c>
      <c r="J63" s="7"/>
      <c r="K63" s="7"/>
      <c r="L63" s="7"/>
      <c r="M63" s="9"/>
    </row>
    <row r="64" spans="4:13" ht="16.2" x14ac:dyDescent="0.3">
      <c r="D64" s="18" t="s">
        <v>30</v>
      </c>
      <c r="E64" s="18" t="s">
        <v>120</v>
      </c>
      <c r="F64" s="19"/>
      <c r="G64" s="33" t="s">
        <v>185</v>
      </c>
      <c r="H64" s="20">
        <v>3.7000000000000002E-3</v>
      </c>
      <c r="I64" s="21">
        <f t="shared" si="0"/>
        <v>0</v>
      </c>
      <c r="J64" s="7"/>
      <c r="K64" s="7"/>
      <c r="L64" s="7"/>
      <c r="M64" s="9"/>
    </row>
    <row r="65" spans="4:13" ht="16.2" x14ac:dyDescent="0.3">
      <c r="D65" s="18"/>
      <c r="E65" s="18" t="s">
        <v>79</v>
      </c>
      <c r="F65" s="19"/>
      <c r="G65" s="33" t="s">
        <v>185</v>
      </c>
      <c r="H65" s="20">
        <v>8.2500000000000004E-3</v>
      </c>
      <c r="I65" s="21">
        <f t="shared" si="0"/>
        <v>0</v>
      </c>
      <c r="J65" s="7"/>
      <c r="K65" s="7"/>
      <c r="L65" s="7"/>
      <c r="M65" s="9"/>
    </row>
    <row r="66" spans="4:13" ht="16.2" x14ac:dyDescent="0.3">
      <c r="D66" s="18" t="s">
        <v>159</v>
      </c>
      <c r="E66" s="18" t="s">
        <v>121</v>
      </c>
      <c r="F66" s="19"/>
      <c r="G66" s="33" t="s">
        <v>185</v>
      </c>
      <c r="H66" s="20">
        <v>1.7299999999999999E-2</v>
      </c>
      <c r="I66" s="21">
        <f t="shared" si="0"/>
        <v>0</v>
      </c>
      <c r="J66" s="7"/>
      <c r="K66" s="7"/>
      <c r="L66" s="7"/>
      <c r="M66" s="9"/>
    </row>
    <row r="67" spans="4:13" ht="16.2" x14ac:dyDescent="0.3">
      <c r="D67" s="18"/>
      <c r="E67" s="23" t="s">
        <v>78</v>
      </c>
      <c r="F67" s="24"/>
      <c r="G67" s="33" t="s">
        <v>185</v>
      </c>
      <c r="H67" s="20">
        <v>1.0000000000000001E-5</v>
      </c>
      <c r="I67" s="21">
        <f t="shared" si="0"/>
        <v>0</v>
      </c>
      <c r="J67" s="8"/>
      <c r="K67" s="7"/>
      <c r="L67" s="7"/>
      <c r="M67" s="9"/>
    </row>
    <row r="68" spans="4:13" ht="16.2" x14ac:dyDescent="0.3">
      <c r="D68" s="18" t="s">
        <v>31</v>
      </c>
      <c r="E68" s="18" t="s">
        <v>144</v>
      </c>
      <c r="F68" s="19"/>
      <c r="G68" s="33" t="s">
        <v>185</v>
      </c>
      <c r="H68" s="20">
        <v>7.3000000000000001E-3</v>
      </c>
      <c r="I68" s="21">
        <f t="shared" si="0"/>
        <v>0</v>
      </c>
      <c r="J68" s="7"/>
      <c r="K68" s="7"/>
      <c r="L68" s="7"/>
      <c r="M68" s="9"/>
    </row>
    <row r="69" spans="4:13" ht="28.8" x14ac:dyDescent="0.3">
      <c r="D69" s="46" t="s">
        <v>204</v>
      </c>
      <c r="E69" s="47" t="s">
        <v>205</v>
      </c>
      <c r="F69" s="45"/>
      <c r="G69" s="20" t="s">
        <v>185</v>
      </c>
      <c r="H69" s="20">
        <v>9.2549999999999993E-2</v>
      </c>
      <c r="I69" s="21">
        <f t="shared" si="0"/>
        <v>0</v>
      </c>
      <c r="J69" s="7"/>
      <c r="K69" s="7"/>
      <c r="L69" s="7"/>
      <c r="M69" s="9"/>
    </row>
    <row r="70" spans="4:13" ht="16.2" x14ac:dyDescent="0.3">
      <c r="D70" s="18" t="s">
        <v>32</v>
      </c>
      <c r="E70" s="18" t="s">
        <v>77</v>
      </c>
      <c r="F70" s="19"/>
      <c r="G70" s="33" t="s">
        <v>185</v>
      </c>
      <c r="H70" s="20">
        <v>3.49E-3</v>
      </c>
      <c r="I70" s="21">
        <f t="shared" si="0"/>
        <v>0</v>
      </c>
      <c r="J70" s="7"/>
      <c r="K70" s="7"/>
      <c r="L70" s="8"/>
      <c r="M70" s="10"/>
    </row>
    <row r="71" spans="4:13" ht="16.2" x14ac:dyDescent="0.3">
      <c r="D71" s="18" t="s">
        <v>33</v>
      </c>
      <c r="E71" s="18" t="s">
        <v>122</v>
      </c>
      <c r="F71" s="19"/>
      <c r="G71" s="33" t="s">
        <v>185</v>
      </c>
      <c r="H71" s="20">
        <v>4.07E-2</v>
      </c>
      <c r="I71" s="21">
        <f t="shared" si="0"/>
        <v>0</v>
      </c>
      <c r="J71" s="7"/>
      <c r="K71" s="7"/>
      <c r="L71" s="7"/>
      <c r="M71" s="9"/>
    </row>
    <row r="72" spans="4:13" ht="16.2" x14ac:dyDescent="0.3">
      <c r="D72" s="18" t="s">
        <v>34</v>
      </c>
      <c r="E72" s="18" t="s">
        <v>123</v>
      </c>
      <c r="F72" s="19"/>
      <c r="G72" s="33" t="s">
        <v>185</v>
      </c>
      <c r="H72" s="20">
        <v>6.3E-3</v>
      </c>
      <c r="I72" s="21">
        <f t="shared" si="0"/>
        <v>0</v>
      </c>
      <c r="J72" s="7"/>
      <c r="K72" s="7"/>
      <c r="L72" s="7"/>
      <c r="M72" s="9"/>
    </row>
    <row r="73" spans="4:13" ht="16.2" x14ac:dyDescent="0.3">
      <c r="D73" s="18" t="s">
        <v>35</v>
      </c>
      <c r="E73" s="18" t="s">
        <v>124</v>
      </c>
      <c r="F73" s="19"/>
      <c r="G73" s="33" t="s">
        <v>185</v>
      </c>
      <c r="H73" s="20">
        <v>1.0999999999999999E-2</v>
      </c>
      <c r="I73" s="21">
        <f t="shared" si="0"/>
        <v>0</v>
      </c>
      <c r="J73" s="7"/>
      <c r="K73" s="7"/>
      <c r="L73" s="7"/>
      <c r="M73" s="9"/>
    </row>
    <row r="74" spans="4:13" x14ac:dyDescent="0.3">
      <c r="D74" s="18" t="s">
        <v>58</v>
      </c>
      <c r="E74" s="18" t="s">
        <v>55</v>
      </c>
      <c r="F74" s="19"/>
      <c r="G74" s="33" t="s">
        <v>185</v>
      </c>
      <c r="H74" s="20">
        <v>6.0000000000000002E-5</v>
      </c>
      <c r="I74" s="21">
        <f t="shared" si="0"/>
        <v>0</v>
      </c>
      <c r="J74" s="7"/>
      <c r="K74" s="7"/>
      <c r="L74" s="7"/>
      <c r="M74" s="9"/>
    </row>
    <row r="75" spans="4:13" ht="16.2" x14ac:dyDescent="0.3">
      <c r="D75" s="18"/>
      <c r="E75" s="18" t="s">
        <v>74</v>
      </c>
      <c r="F75" s="19"/>
      <c r="G75" s="33" t="s">
        <v>185</v>
      </c>
      <c r="H75" s="20">
        <v>1.0000000000000001E-5</v>
      </c>
      <c r="I75" s="21">
        <f t="shared" si="0"/>
        <v>0</v>
      </c>
      <c r="J75" s="7"/>
      <c r="K75" s="7"/>
      <c r="L75" s="7"/>
      <c r="M75" s="9"/>
    </row>
    <row r="76" spans="4:13" ht="16.2" x14ac:dyDescent="0.3">
      <c r="D76" s="18" t="s">
        <v>36</v>
      </c>
      <c r="E76" s="18" t="s">
        <v>75</v>
      </c>
      <c r="F76" s="19"/>
      <c r="G76" s="33" t="s">
        <v>185</v>
      </c>
      <c r="H76" s="20">
        <v>1.0000000000000001E-5</v>
      </c>
      <c r="I76" s="21">
        <f t="shared" si="0"/>
        <v>0</v>
      </c>
      <c r="J76" s="7"/>
      <c r="K76" s="7"/>
      <c r="L76" s="7"/>
      <c r="M76" s="9"/>
    </row>
    <row r="77" spans="4:13" ht="16.2" x14ac:dyDescent="0.3">
      <c r="D77" s="18"/>
      <c r="E77" s="23" t="s">
        <v>76</v>
      </c>
      <c r="F77" s="24"/>
      <c r="G77" s="33" t="s">
        <v>185</v>
      </c>
      <c r="H77" s="20">
        <v>1.0000000000000001E-5</v>
      </c>
      <c r="I77" s="21">
        <f t="shared" si="0"/>
        <v>0</v>
      </c>
      <c r="J77" s="8"/>
      <c r="K77" s="7"/>
      <c r="L77" s="7"/>
      <c r="M77" s="9"/>
    </row>
    <row r="78" spans="4:13" ht="16.2" x14ac:dyDescent="0.3">
      <c r="D78" s="18" t="s">
        <v>57</v>
      </c>
      <c r="E78" s="23" t="s">
        <v>145</v>
      </c>
      <c r="F78" s="24"/>
      <c r="G78" s="33" t="s">
        <v>185</v>
      </c>
      <c r="H78" s="20">
        <v>1.3999999999999999E-4</v>
      </c>
      <c r="I78" s="21">
        <f t="shared" si="0"/>
        <v>0</v>
      </c>
      <c r="J78" s="8"/>
      <c r="K78" s="7"/>
      <c r="L78" s="7"/>
      <c r="M78" s="9"/>
    </row>
    <row r="79" spans="4:13" ht="16.2" x14ac:dyDescent="0.3">
      <c r="D79" s="18" t="s">
        <v>37</v>
      </c>
      <c r="E79" s="18" t="s">
        <v>125</v>
      </c>
      <c r="F79" s="19"/>
      <c r="G79" s="33" t="s">
        <v>185</v>
      </c>
      <c r="H79" s="20">
        <v>2.9000000000000001E-2</v>
      </c>
      <c r="I79" s="21">
        <f t="shared" ref="I79:I110" si="1">IF(G79&lt;&gt;"-",G79*H79,F79*H79)</f>
        <v>0</v>
      </c>
      <c r="J79" s="7"/>
      <c r="K79" s="7"/>
      <c r="L79" s="7"/>
      <c r="M79" s="9"/>
    </row>
    <row r="80" spans="4:13" x14ac:dyDescent="0.3">
      <c r="D80" s="44" t="s">
        <v>206</v>
      </c>
      <c r="E80" s="45" t="s">
        <v>207</v>
      </c>
      <c r="F80" s="45"/>
      <c r="G80" s="20" t="s">
        <v>185</v>
      </c>
      <c r="H80" s="20">
        <v>1.47E-3</v>
      </c>
      <c r="I80" s="21">
        <f t="shared" si="1"/>
        <v>0</v>
      </c>
      <c r="J80" s="7"/>
      <c r="K80" s="7"/>
      <c r="L80" s="7"/>
      <c r="M80" s="9"/>
    </row>
    <row r="81" spans="4:13" ht="16.2" x14ac:dyDescent="0.3">
      <c r="D81" s="18" t="s">
        <v>56</v>
      </c>
      <c r="E81" s="18" t="s">
        <v>146</v>
      </c>
      <c r="F81" s="19"/>
      <c r="G81" s="33" t="s">
        <v>185</v>
      </c>
      <c r="H81" s="20">
        <v>6.0000000000000002E-5</v>
      </c>
      <c r="I81" s="21">
        <f t="shared" si="1"/>
        <v>0</v>
      </c>
      <c r="J81" s="7"/>
      <c r="K81" s="7"/>
      <c r="L81" s="7"/>
      <c r="M81" s="9"/>
    </row>
    <row r="82" spans="4:13" ht="16.2" x14ac:dyDescent="0.3">
      <c r="D82" s="18"/>
      <c r="E82" s="18" t="s">
        <v>147</v>
      </c>
      <c r="F82" s="19"/>
      <c r="G82" s="33" t="s">
        <v>185</v>
      </c>
      <c r="H82" s="22">
        <v>6.9999999999999994E-5</v>
      </c>
      <c r="I82" s="21">
        <f t="shared" si="1"/>
        <v>0</v>
      </c>
      <c r="J82" s="7"/>
      <c r="K82" s="7"/>
      <c r="L82" s="7"/>
      <c r="M82" s="9"/>
    </row>
    <row r="83" spans="4:13" ht="16.2" x14ac:dyDescent="0.3">
      <c r="D83" s="18"/>
      <c r="E83" s="18" t="s">
        <v>72</v>
      </c>
      <c r="F83" s="19"/>
      <c r="G83" s="33" t="s">
        <v>185</v>
      </c>
      <c r="H83" s="22">
        <v>9.0000000000000006E-5</v>
      </c>
      <c r="I83" s="21">
        <f t="shared" si="1"/>
        <v>0</v>
      </c>
      <c r="J83" s="7"/>
      <c r="K83" s="7"/>
      <c r="L83" s="8"/>
      <c r="M83" s="10"/>
    </row>
    <row r="84" spans="4:13" ht="16.2" x14ac:dyDescent="0.3">
      <c r="D84" s="18"/>
      <c r="E84" s="18" t="s">
        <v>73</v>
      </c>
      <c r="F84" s="19"/>
      <c r="G84" s="33" t="s">
        <v>185</v>
      </c>
      <c r="H84" s="22">
        <v>6.9999999999999994E-5</v>
      </c>
      <c r="I84" s="21">
        <f t="shared" si="1"/>
        <v>0</v>
      </c>
      <c r="J84" s="7"/>
      <c r="K84" s="7"/>
      <c r="L84" s="8"/>
      <c r="M84" s="10"/>
    </row>
    <row r="85" spans="4:13" x14ac:dyDescent="0.3">
      <c r="D85" s="46"/>
      <c r="E85" s="45" t="s">
        <v>208</v>
      </c>
      <c r="F85" s="45"/>
      <c r="G85" s="20" t="s">
        <v>185</v>
      </c>
      <c r="H85" s="20">
        <v>3.1800000000000002E-2</v>
      </c>
      <c r="I85" s="21">
        <f t="shared" si="1"/>
        <v>0</v>
      </c>
      <c r="J85" s="7"/>
      <c r="K85" s="7"/>
      <c r="L85" s="8"/>
      <c r="M85" s="10"/>
    </row>
    <row r="86" spans="4:13" ht="16.2" x14ac:dyDescent="0.3">
      <c r="D86" s="18" t="s">
        <v>38</v>
      </c>
      <c r="E86" s="18" t="s">
        <v>71</v>
      </c>
      <c r="F86" s="19"/>
      <c r="G86" s="33" t="s">
        <v>185</v>
      </c>
      <c r="H86" s="20">
        <v>5.7200000000000003E-3</v>
      </c>
      <c r="I86" s="21">
        <f t="shared" si="1"/>
        <v>0</v>
      </c>
      <c r="J86" s="7"/>
      <c r="K86" s="7"/>
      <c r="L86" s="7"/>
      <c r="M86" s="9"/>
    </row>
    <row r="87" spans="4:13" ht="16.2" x14ac:dyDescent="0.3">
      <c r="D87" s="18" t="s">
        <v>39</v>
      </c>
      <c r="E87" s="18" t="s">
        <v>126</v>
      </c>
      <c r="F87" s="19"/>
      <c r="G87" s="33" t="s">
        <v>185</v>
      </c>
      <c r="H87" s="20">
        <v>4.36E-2</v>
      </c>
      <c r="I87" s="21">
        <f>IF(G87&lt;&gt;"-",G87*H87,F87*H87)</f>
        <v>0</v>
      </c>
      <c r="J87" s="7"/>
      <c r="K87" s="7"/>
      <c r="L87" s="7"/>
      <c r="M87" s="9"/>
    </row>
    <row r="88" spans="4:13" ht="16.2" x14ac:dyDescent="0.3">
      <c r="D88" s="18" t="s">
        <v>40</v>
      </c>
      <c r="E88" s="18" t="s">
        <v>127</v>
      </c>
      <c r="F88" s="19"/>
      <c r="G88" s="33" t="s">
        <v>185</v>
      </c>
      <c r="H88" s="20">
        <v>1.3100000000000001E-2</v>
      </c>
      <c r="I88" s="21">
        <f t="shared" si="1"/>
        <v>0</v>
      </c>
      <c r="J88" s="7"/>
      <c r="K88" s="7"/>
      <c r="L88" s="7"/>
      <c r="M88" s="10"/>
    </row>
    <row r="89" spans="4:13" x14ac:dyDescent="0.3">
      <c r="D89" s="18"/>
      <c r="E89" s="27" t="s">
        <v>155</v>
      </c>
      <c r="F89" s="28"/>
      <c r="G89" s="33" t="s">
        <v>185</v>
      </c>
      <c r="H89" s="29">
        <f>24.2/1000</f>
        <v>2.4199999999999999E-2</v>
      </c>
      <c r="I89" s="21">
        <f t="shared" si="1"/>
        <v>0</v>
      </c>
      <c r="J89" s="7"/>
      <c r="K89" s="7"/>
      <c r="L89" s="7"/>
      <c r="M89" s="10"/>
    </row>
    <row r="90" spans="4:13" ht="16.2" x14ac:dyDescent="0.3">
      <c r="D90" s="18" t="s">
        <v>41</v>
      </c>
      <c r="E90" s="18" t="s">
        <v>128</v>
      </c>
      <c r="F90" s="19"/>
      <c r="G90" s="33" t="s">
        <v>185</v>
      </c>
      <c r="H90" s="20">
        <v>1.9900000000000001E-2</v>
      </c>
      <c r="I90" s="21">
        <f t="shared" si="1"/>
        <v>0</v>
      </c>
      <c r="J90" s="7"/>
      <c r="K90" s="7"/>
      <c r="L90" s="7"/>
      <c r="M90" s="10"/>
    </row>
    <row r="91" spans="4:13" ht="16.2" x14ac:dyDescent="0.3">
      <c r="D91" s="18"/>
      <c r="E91" s="18" t="s">
        <v>129</v>
      </c>
      <c r="F91" s="19"/>
      <c r="G91" s="33" t="s">
        <v>185</v>
      </c>
      <c r="H91" s="20">
        <v>7.4000000000000003E-3</v>
      </c>
      <c r="I91" s="21">
        <f t="shared" si="1"/>
        <v>0</v>
      </c>
      <c r="J91" s="7"/>
      <c r="K91" s="7"/>
      <c r="L91" s="7"/>
      <c r="M91" s="10"/>
    </row>
    <row r="92" spans="4:13" ht="16.2" x14ac:dyDescent="0.3">
      <c r="D92" s="18" t="s">
        <v>42</v>
      </c>
      <c r="E92" s="18" t="s">
        <v>70</v>
      </c>
      <c r="F92" s="19"/>
      <c r="G92" s="33" t="s">
        <v>185</v>
      </c>
      <c r="H92" s="20">
        <v>5.5000000000000003E-4</v>
      </c>
      <c r="I92" s="21">
        <f t="shared" si="1"/>
        <v>0</v>
      </c>
      <c r="J92" s="7"/>
      <c r="K92" s="7"/>
      <c r="L92" s="7"/>
      <c r="M92" s="9"/>
    </row>
    <row r="93" spans="4:13" ht="16.2" x14ac:dyDescent="0.3">
      <c r="D93" s="18" t="s">
        <v>43</v>
      </c>
      <c r="E93" s="18" t="s">
        <v>69</v>
      </c>
      <c r="F93" s="19"/>
      <c r="G93" s="33" t="s">
        <v>185</v>
      </c>
      <c r="H93" s="22">
        <v>2.5899999999999999E-3</v>
      </c>
      <c r="I93" s="21">
        <f t="shared" si="1"/>
        <v>0</v>
      </c>
      <c r="J93" s="7"/>
      <c r="K93" s="7"/>
      <c r="L93" s="7"/>
      <c r="M93" s="9"/>
    </row>
    <row r="94" spans="4:13" ht="16.2" x14ac:dyDescent="0.3">
      <c r="D94" s="18" t="s">
        <v>160</v>
      </c>
      <c r="E94" s="18" t="s">
        <v>153</v>
      </c>
      <c r="F94" s="19"/>
      <c r="G94" s="33" t="s">
        <v>185</v>
      </c>
      <c r="H94" s="22">
        <v>1.18E-2</v>
      </c>
      <c r="I94" s="21">
        <f t="shared" si="1"/>
        <v>0</v>
      </c>
      <c r="J94" s="7"/>
      <c r="K94" s="7"/>
      <c r="L94" s="7"/>
      <c r="M94" s="9"/>
    </row>
    <row r="95" spans="4:13" ht="16.2" x14ac:dyDescent="0.3">
      <c r="D95" s="18" t="s">
        <v>161</v>
      </c>
      <c r="E95" s="18" t="s">
        <v>130</v>
      </c>
      <c r="F95" s="19"/>
      <c r="G95" s="33" t="s">
        <v>185</v>
      </c>
      <c r="H95" s="22">
        <v>2.3199999999999998E-2</v>
      </c>
      <c r="I95" s="21">
        <f t="shared" si="1"/>
        <v>0</v>
      </c>
      <c r="J95" s="7"/>
      <c r="K95" s="7"/>
      <c r="L95" s="7"/>
      <c r="M95" s="9"/>
    </row>
    <row r="96" spans="4:13" ht="16.2" x14ac:dyDescent="0.3">
      <c r="D96" s="18"/>
      <c r="E96" s="18" t="s">
        <v>67</v>
      </c>
      <c r="F96" s="19"/>
      <c r="G96" s="33" t="s">
        <v>185</v>
      </c>
      <c r="H96" s="20">
        <v>1.01E-3</v>
      </c>
      <c r="I96" s="21">
        <f t="shared" si="1"/>
        <v>0</v>
      </c>
      <c r="J96" s="7"/>
      <c r="K96" s="7"/>
      <c r="L96" s="7"/>
      <c r="M96" s="9"/>
    </row>
    <row r="97" spans="4:13" ht="16.2" x14ac:dyDescent="0.3">
      <c r="D97" s="18"/>
      <c r="E97" s="18" t="s">
        <v>68</v>
      </c>
      <c r="F97" s="19"/>
      <c r="G97" s="33" t="s">
        <v>185</v>
      </c>
      <c r="H97" s="22">
        <v>1.0000000000000001E-5</v>
      </c>
      <c r="I97" s="21">
        <f t="shared" si="1"/>
        <v>0</v>
      </c>
      <c r="J97" s="7"/>
      <c r="K97" s="7"/>
      <c r="L97" s="7"/>
      <c r="M97" s="9"/>
    </row>
    <row r="98" spans="4:13" ht="16.2" x14ac:dyDescent="0.3">
      <c r="D98" s="18"/>
      <c r="E98" s="18" t="s">
        <v>149</v>
      </c>
      <c r="F98" s="19"/>
      <c r="G98" s="33" t="s">
        <v>185</v>
      </c>
      <c r="H98" s="20">
        <v>5.8799999999999998E-3</v>
      </c>
      <c r="I98" s="21">
        <f t="shared" si="1"/>
        <v>0</v>
      </c>
      <c r="J98" s="7"/>
      <c r="K98" s="7"/>
      <c r="L98" s="7"/>
      <c r="M98" s="10"/>
    </row>
    <row r="99" spans="4:13" ht="16.2" x14ac:dyDescent="0.3">
      <c r="D99" s="18" t="s">
        <v>44</v>
      </c>
      <c r="E99" s="18" t="s">
        <v>148</v>
      </c>
      <c r="F99" s="19"/>
      <c r="G99" s="33" t="s">
        <v>185</v>
      </c>
      <c r="H99" s="20">
        <v>4.2700000000000004E-3</v>
      </c>
      <c r="I99" s="21">
        <f t="shared" si="1"/>
        <v>0</v>
      </c>
      <c r="J99" s="7"/>
      <c r="K99" s="7"/>
      <c r="L99" s="7"/>
      <c r="M99" s="10"/>
    </row>
    <row r="100" spans="4:13" ht="16.2" x14ac:dyDescent="0.3">
      <c r="D100" s="18" t="s">
        <v>45</v>
      </c>
      <c r="E100" s="18" t="s">
        <v>105</v>
      </c>
      <c r="F100" s="19"/>
      <c r="G100" s="33" t="s">
        <v>185</v>
      </c>
      <c r="H100" s="20">
        <v>5.4000000000000003E-3</v>
      </c>
      <c r="I100" s="21">
        <f t="shared" si="1"/>
        <v>0</v>
      </c>
      <c r="J100" s="7"/>
      <c r="K100" s="7"/>
      <c r="L100" s="7"/>
      <c r="M100" s="10"/>
    </row>
    <row r="101" spans="4:13" ht="16.2" x14ac:dyDescent="0.3">
      <c r="D101" s="18" t="s">
        <v>54</v>
      </c>
      <c r="E101" s="18" t="s">
        <v>66</v>
      </c>
      <c r="F101" s="19"/>
      <c r="G101" s="33" t="s">
        <v>185</v>
      </c>
      <c r="H101" s="20">
        <v>1.0970000000000001E-2</v>
      </c>
      <c r="I101" s="21">
        <f t="shared" si="1"/>
        <v>0</v>
      </c>
      <c r="J101" s="7"/>
      <c r="K101" s="7"/>
      <c r="L101" s="7"/>
      <c r="M101" s="9"/>
    </row>
    <row r="102" spans="4:13" ht="16.2" x14ac:dyDescent="0.3">
      <c r="D102" s="18" t="s">
        <v>46</v>
      </c>
      <c r="E102" s="18" t="s">
        <v>65</v>
      </c>
      <c r="F102" s="19"/>
      <c r="G102" s="33" t="s">
        <v>185</v>
      </c>
      <c r="H102" s="22">
        <v>1.65E-3</v>
      </c>
      <c r="I102" s="21">
        <f t="shared" si="1"/>
        <v>0</v>
      </c>
      <c r="J102" s="7"/>
      <c r="K102" s="7"/>
      <c r="L102" s="7"/>
      <c r="M102" s="10"/>
    </row>
    <row r="103" spans="4:13" ht="16.2" x14ac:dyDescent="0.3">
      <c r="D103" s="18"/>
      <c r="E103" s="18" t="s">
        <v>64</v>
      </c>
      <c r="F103" s="19"/>
      <c r="G103" s="33" t="s">
        <v>185</v>
      </c>
      <c r="H103" s="20">
        <v>3.49E-3</v>
      </c>
      <c r="I103" s="21">
        <f t="shared" si="1"/>
        <v>0</v>
      </c>
      <c r="J103" s="7"/>
      <c r="K103" s="7"/>
      <c r="L103" s="7"/>
      <c r="M103" s="9"/>
    </row>
    <row r="104" spans="4:13" x14ac:dyDescent="0.3">
      <c r="D104" s="18"/>
      <c r="E104" s="27" t="s">
        <v>154</v>
      </c>
      <c r="F104" s="28"/>
      <c r="G104" s="33" t="s">
        <v>185</v>
      </c>
      <c r="H104" s="29">
        <f>7.59/1000</f>
        <v>7.5899999999999995E-3</v>
      </c>
      <c r="I104" s="21">
        <f t="shared" si="1"/>
        <v>0</v>
      </c>
      <c r="J104" s="7"/>
      <c r="K104" s="7"/>
      <c r="L104" s="7"/>
      <c r="M104" s="9"/>
    </row>
    <row r="105" spans="4:13" ht="16.2" x14ac:dyDescent="0.3">
      <c r="D105" s="18"/>
      <c r="E105" s="18" t="s">
        <v>131</v>
      </c>
      <c r="F105" s="19"/>
      <c r="G105" s="33" t="s">
        <v>185</v>
      </c>
      <c r="H105" s="22">
        <v>4.2000000000000003E-2</v>
      </c>
      <c r="I105" s="21">
        <f t="shared" si="1"/>
        <v>0</v>
      </c>
      <c r="J105" s="7"/>
      <c r="K105" s="7"/>
      <c r="L105" s="7"/>
      <c r="M105" s="9"/>
    </row>
    <row r="106" spans="4:13" ht="16.2" x14ac:dyDescent="0.3">
      <c r="D106" s="18"/>
      <c r="E106" s="18" t="s">
        <v>63</v>
      </c>
      <c r="F106" s="19"/>
      <c r="G106" s="33" t="s">
        <v>185</v>
      </c>
      <c r="H106" s="20">
        <v>1.01E-3</v>
      </c>
      <c r="I106" s="21">
        <f>IF(G106&lt;&gt;"-",G106*H106,F106*H106)</f>
        <v>0</v>
      </c>
      <c r="J106" s="7"/>
      <c r="K106" s="7"/>
      <c r="L106" s="7"/>
      <c r="M106" s="9"/>
    </row>
    <row r="107" spans="4:13" ht="16.2" x14ac:dyDescent="0.3">
      <c r="D107" s="18" t="s">
        <v>47</v>
      </c>
      <c r="E107" s="18" t="s">
        <v>62</v>
      </c>
      <c r="F107" s="19"/>
      <c r="G107" s="33" t="s">
        <v>185</v>
      </c>
      <c r="H107" s="20">
        <v>5.5999999999999995E-4</v>
      </c>
      <c r="I107" s="21">
        <f t="shared" si="1"/>
        <v>0</v>
      </c>
      <c r="J107" s="7"/>
      <c r="K107" s="7"/>
      <c r="L107" s="7"/>
      <c r="M107" s="9"/>
    </row>
    <row r="108" spans="4:13" ht="16.2" x14ac:dyDescent="0.3">
      <c r="D108" s="18" t="s">
        <v>48</v>
      </c>
      <c r="E108" s="18" t="s">
        <v>61</v>
      </c>
      <c r="F108" s="19"/>
      <c r="G108" s="33" t="s">
        <v>185</v>
      </c>
      <c r="H108" s="20">
        <v>3.9E-2</v>
      </c>
      <c r="I108" s="21">
        <f t="shared" si="1"/>
        <v>0</v>
      </c>
      <c r="J108" s="7"/>
      <c r="K108" s="7"/>
      <c r="L108" s="7"/>
      <c r="M108" s="10"/>
    </row>
    <row r="109" spans="4:13" ht="16.2" x14ac:dyDescent="0.3">
      <c r="D109" s="18" t="s">
        <v>49</v>
      </c>
      <c r="E109" s="18" t="s">
        <v>132</v>
      </c>
      <c r="F109" s="19"/>
      <c r="G109" s="33" t="s">
        <v>185</v>
      </c>
      <c r="H109" s="20">
        <v>4.7999999999999996E-3</v>
      </c>
      <c r="I109" s="21">
        <f t="shared" si="1"/>
        <v>0</v>
      </c>
      <c r="J109" s="7"/>
      <c r="K109" s="7"/>
      <c r="L109" s="7"/>
      <c r="M109" s="9"/>
    </row>
    <row r="110" spans="4:13" ht="16.2" x14ac:dyDescent="0.3">
      <c r="D110" s="18" t="s">
        <v>50</v>
      </c>
      <c r="E110" s="18" t="s">
        <v>133</v>
      </c>
      <c r="F110" s="19"/>
      <c r="G110" s="33" t="s">
        <v>185</v>
      </c>
      <c r="H110" s="20">
        <v>2.4E-2</v>
      </c>
      <c r="I110" s="21">
        <f t="shared" si="1"/>
        <v>0</v>
      </c>
      <c r="L110" s="7"/>
      <c r="M110" s="10"/>
    </row>
    <row r="111" spans="4:13" ht="16.2" x14ac:dyDescent="0.3">
      <c r="D111" s="18"/>
      <c r="E111" s="18" t="s">
        <v>60</v>
      </c>
      <c r="F111" s="19"/>
      <c r="G111" s="33" t="s">
        <v>185</v>
      </c>
      <c r="H111" s="20">
        <v>1.0000000000000001E-5</v>
      </c>
      <c r="I111" s="21">
        <f>IF(G111&lt;&gt;"-",G111*H111,F111*H111)</f>
        <v>0</v>
      </c>
      <c r="L111" s="7"/>
      <c r="M111" s="9"/>
    </row>
    <row r="112" spans="4:13" x14ac:dyDescent="0.3">
      <c r="L112" s="7"/>
      <c r="M112" s="9"/>
    </row>
    <row r="113" spans="12:13" x14ac:dyDescent="0.3">
      <c r="L113" s="7"/>
      <c r="M113" s="10"/>
    </row>
    <row r="114" spans="12:13" x14ac:dyDescent="0.3">
      <c r="L114" s="7"/>
      <c r="M114" s="9"/>
    </row>
    <row r="115" spans="12:13" x14ac:dyDescent="0.3">
      <c r="L115" s="7"/>
      <c r="M115" s="9"/>
    </row>
    <row r="116" spans="12:13" x14ac:dyDescent="0.3">
      <c r="L116" s="7"/>
      <c r="M116" s="9"/>
    </row>
  </sheetData>
  <sheetProtection formatCells="0" autoFilter="0"/>
  <autoFilter ref="D7:I111" xr:uid="{CE9FD823-0127-4C95-94F5-6E3964FBBD64}"/>
  <mergeCells count="3">
    <mergeCell ref="E3:G3"/>
    <mergeCell ref="E1:G1"/>
    <mergeCell ref="I1:I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88D2-DC31-4A1C-8C8D-5B4D5442C6A4}">
  <dimension ref="A1:C11"/>
  <sheetViews>
    <sheetView workbookViewId="0">
      <selection activeCell="B16" sqref="B16"/>
    </sheetView>
  </sheetViews>
  <sheetFormatPr defaultRowHeight="14.4" x14ac:dyDescent="0.3"/>
  <cols>
    <col min="1" max="1" width="21.109375" bestFit="1" customWidth="1"/>
    <col min="2" max="2" width="41.33203125" style="30" bestFit="1" customWidth="1"/>
    <col min="3" max="3" width="15.33203125" bestFit="1" customWidth="1"/>
  </cols>
  <sheetData>
    <row r="1" spans="1:3" ht="18" x14ac:dyDescent="0.35">
      <c r="A1" s="31" t="s">
        <v>162</v>
      </c>
      <c r="B1" s="32" t="s">
        <v>163</v>
      </c>
      <c r="C1" s="31" t="s">
        <v>164</v>
      </c>
    </row>
    <row r="2" spans="1:3" x14ac:dyDescent="0.3">
      <c r="A2" t="s">
        <v>165</v>
      </c>
      <c r="B2" s="30" t="s">
        <v>166</v>
      </c>
      <c r="C2" t="s">
        <v>172</v>
      </c>
    </row>
    <row r="3" spans="1:3" ht="43.2" x14ac:dyDescent="0.3">
      <c r="A3" t="s">
        <v>167</v>
      </c>
      <c r="B3" s="30" t="s">
        <v>168</v>
      </c>
      <c r="C3" t="s">
        <v>169</v>
      </c>
    </row>
    <row r="4" spans="1:3" ht="28.8" x14ac:dyDescent="0.3">
      <c r="A4" t="s">
        <v>171</v>
      </c>
      <c r="B4" s="30" t="s">
        <v>170</v>
      </c>
      <c r="C4" t="s">
        <v>173</v>
      </c>
    </row>
    <row r="5" spans="1:3" ht="72" x14ac:dyDescent="0.3">
      <c r="A5" t="s">
        <v>175</v>
      </c>
      <c r="B5" s="30" t="s">
        <v>174</v>
      </c>
      <c r="C5" t="s">
        <v>176</v>
      </c>
    </row>
    <row r="6" spans="1:3" ht="43.2" x14ac:dyDescent="0.3">
      <c r="A6" t="s">
        <v>177</v>
      </c>
      <c r="B6" s="30" t="s">
        <v>178</v>
      </c>
      <c r="C6" t="s">
        <v>179</v>
      </c>
    </row>
    <row r="7" spans="1:3" x14ac:dyDescent="0.3">
      <c r="A7" t="s">
        <v>181</v>
      </c>
      <c r="B7" s="30" t="s">
        <v>180</v>
      </c>
      <c r="C7" t="s">
        <v>182</v>
      </c>
    </row>
    <row r="8" spans="1:3" x14ac:dyDescent="0.3">
      <c r="A8" t="s">
        <v>183</v>
      </c>
    </row>
    <row r="9" spans="1:3" x14ac:dyDescent="0.3">
      <c r="A9" t="s">
        <v>184</v>
      </c>
    </row>
    <row r="10" spans="1:3" ht="43.2" x14ac:dyDescent="0.3">
      <c r="A10" t="s">
        <v>187</v>
      </c>
      <c r="B10" s="30" t="s">
        <v>188</v>
      </c>
      <c r="C10" t="s">
        <v>189</v>
      </c>
    </row>
    <row r="11" spans="1:3" ht="28.8" x14ac:dyDescent="0.3">
      <c r="A11" t="s">
        <v>190</v>
      </c>
      <c r="B11" s="30" t="s">
        <v>191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C2D14F6B96844AFA931507725A7DF" ma:contentTypeVersion="13" ma:contentTypeDescription="Create a new document." ma:contentTypeScope="" ma:versionID="e0958de7b4e2e166f8e15808be88d1eb">
  <xsd:schema xmlns:xsd="http://www.w3.org/2001/XMLSchema" xmlns:xs="http://www.w3.org/2001/XMLSchema" xmlns:p="http://schemas.microsoft.com/office/2006/metadata/properties" xmlns:ns2="fc7f534a-70fb-4324-b2e1-98e1059d7272" xmlns:ns3="711517d2-f3f9-44d8-b49d-51b2d5d7a8cc" targetNamespace="http://schemas.microsoft.com/office/2006/metadata/properties" ma:root="true" ma:fieldsID="8cbc3ffa19650d64a3bc623f926a7ea7" ns2:_="" ns3:_="">
    <xsd:import namespace="fc7f534a-70fb-4324-b2e1-98e1059d7272"/>
    <xsd:import namespace="711517d2-f3f9-44d8-b49d-51b2d5d7a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f534a-70fb-4324-b2e1-98e1059d7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517d2-f3f9-44d8-b49d-51b2d5d7a8c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128cb53-49be-4704-a8bd-7d18661b2bf6}" ma:internalName="TaxCatchAll" ma:showField="CatchAllData" ma:web="711517d2-f3f9-44d8-b49d-51b2d5d7a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7f534a-70fb-4324-b2e1-98e1059d7272">
      <Terms xmlns="http://schemas.microsoft.com/office/infopath/2007/PartnerControls"/>
    </lcf76f155ced4ddcb4097134ff3c332f>
    <TaxCatchAll xmlns="711517d2-f3f9-44d8-b49d-51b2d5d7a8cc" xsi:nil="true"/>
  </documentManagement>
</p:properties>
</file>

<file path=customXml/itemProps1.xml><?xml version="1.0" encoding="utf-8"?>
<ds:datastoreItem xmlns:ds="http://schemas.openxmlformats.org/officeDocument/2006/customXml" ds:itemID="{89FFA54B-5E98-48BF-B353-DD83C478B5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f534a-70fb-4324-b2e1-98e1059d7272"/>
    <ds:schemaRef ds:uri="711517d2-f3f9-44d8-b49d-51b2d5d7a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4F8CBE-4092-4914-91BB-53FDFA321D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6A370F-DF6F-44BA-B49A-841CC5CF9C2D}">
  <ds:schemaRefs>
    <ds:schemaRef ds:uri="http://purl.org/dc/dcmitype/"/>
    <ds:schemaRef ds:uri="http://schemas.microsoft.com/office/2006/documentManagement/types"/>
    <ds:schemaRef ds:uri="http://purl.org/dc/elements/1.1/"/>
    <ds:schemaRef ds:uri="711517d2-f3f9-44d8-b49d-51b2d5d7a8cc"/>
    <ds:schemaRef ds:uri="fc7f534a-70fb-4324-b2e1-98e1059d7272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MX_chronic dietary</vt:lpstr>
      <vt:lpstr>Nombres IUPAC espanhol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Bortoletto Fernanda BRSP</dc:creator>
  <cp:lastModifiedBy>Camargo Vinicius BRAS</cp:lastModifiedBy>
  <dcterms:created xsi:type="dcterms:W3CDTF">2023-06-23T11:33:43Z</dcterms:created>
  <dcterms:modified xsi:type="dcterms:W3CDTF">2025-11-17T13:29:50Z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0x01010077DC2D14F6B96844AFA931507725A7DF</vt:lpwstr>
  </property>
  <property fmtid="{D5CDD505-2E9C-101B-9397-08002B2CF9AE}" pid="3" name="Order">
    <vt:r8>168000</vt:r8>
  </property>
</Properties>
</file>